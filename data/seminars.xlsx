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chaej17\Downloads\"/>
    </mc:Choice>
  </mc:AlternateContent>
  <xr:revisionPtr revIDLastSave="0" documentId="13_ncr:1_{3D59CA46-63E3-4BF1-862C-4DB0F2030961}" xr6:coauthVersionLast="47" xr6:coauthVersionMax="47" xr10:uidLastSave="{00000000-0000-0000-0000-000000000000}"/>
  <bookViews>
    <workbookView xWindow="3480" yWindow="3720" windowWidth="17280" windowHeight="9960" xr2:uid="{00000000-000D-0000-FFFF-FFFF00000000}"/>
  </bookViews>
  <sheets>
    <sheet name="Conferen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5" i="1"/>
  <c r="A4" i="1"/>
  <c r="A3" i="1"/>
  <c r="A2" i="1"/>
  <c r="A7" i="1"/>
  <c r="A8" i="1"/>
  <c r="A11" i="1"/>
  <c r="A10" i="1"/>
  <c r="A9" i="1"/>
  <c r="A14" i="1" l="1"/>
  <c r="A13" i="1"/>
  <c r="A12" i="1"/>
  <c r="A15" i="1"/>
  <c r="A19" i="1"/>
  <c r="A18" i="1"/>
  <c r="A17" i="1"/>
  <c r="A16" i="1"/>
  <c r="A20" i="1"/>
  <c r="A29" i="1"/>
  <c r="A28" i="1"/>
  <c r="A27" i="1"/>
  <c r="A26" i="1"/>
  <c r="A25" i="1"/>
  <c r="A24" i="1"/>
  <c r="A23" i="1"/>
  <c r="A22" i="1"/>
  <c r="A21" i="1"/>
  <c r="A30" i="1"/>
  <c r="A37" i="1"/>
  <c r="A36" i="1"/>
  <c r="A35" i="1"/>
  <c r="A34" i="1"/>
  <c r="A33" i="1"/>
  <c r="A32" i="1"/>
  <c r="A38" i="1"/>
  <c r="A31" i="1"/>
  <c r="A48" i="1"/>
  <c r="A47" i="1"/>
  <c r="A46" i="1"/>
  <c r="A45" i="1"/>
  <c r="A44" i="1"/>
  <c r="A43" i="1"/>
  <c r="A42" i="1"/>
  <c r="A41" i="1"/>
  <c r="A40" i="1"/>
  <c r="A39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72" i="1"/>
  <c r="A77" i="1"/>
  <c r="A76" i="1"/>
  <c r="A75" i="1"/>
  <c r="A74" i="1"/>
  <c r="A73" i="1"/>
  <c r="A78" i="1"/>
  <c r="A84" i="1" l="1"/>
  <c r="A83" i="1"/>
  <c r="A82" i="1"/>
  <c r="A81" i="1"/>
  <c r="A80" i="1"/>
  <c r="A79" i="1" l="1"/>
  <c r="A85" i="1" l="1"/>
  <c r="A88" i="1"/>
  <c r="A89" i="1" l="1"/>
  <c r="A87" i="1" l="1"/>
  <c r="A86" i="1"/>
  <c r="A90" i="1"/>
  <c r="A95" i="1" l="1"/>
  <c r="A94" i="1"/>
  <c r="A93" i="1"/>
  <c r="A92" i="1"/>
  <c r="A91" i="1"/>
  <c r="A96" i="1" l="1"/>
  <c r="A103" i="1" l="1"/>
  <c r="A102" i="1"/>
  <c r="A101" i="1"/>
  <c r="A100" i="1"/>
  <c r="A99" i="1"/>
  <c r="A98" i="1"/>
  <c r="A97" i="1"/>
  <c r="A114" i="1" l="1"/>
  <c r="A113" i="1"/>
  <c r="A112" i="1"/>
  <c r="A111" i="1"/>
  <c r="A110" i="1"/>
  <c r="A109" i="1" l="1"/>
  <c r="A108" i="1"/>
  <c r="A107" i="1"/>
  <c r="A106" i="1"/>
  <c r="A105" i="1"/>
  <c r="A104" i="1"/>
  <c r="A120" i="1" l="1"/>
  <c r="A117" i="1" l="1"/>
  <c r="A118" i="1"/>
  <c r="A116" i="1"/>
  <c r="A128" i="1" l="1"/>
  <c r="A127" i="1"/>
  <c r="A126" i="1"/>
  <c r="A125" i="1"/>
  <c r="A124" i="1"/>
  <c r="A123" i="1"/>
  <c r="A122" i="1"/>
  <c r="A121" i="1"/>
  <c r="A119" i="1"/>
  <c r="A115" i="1"/>
  <c r="A130" i="1" l="1"/>
  <c r="A129" i="1"/>
  <c r="A136" i="1" l="1"/>
  <c r="A135" i="1"/>
  <c r="A134" i="1"/>
  <c r="A133" i="1" l="1"/>
  <c r="A374" i="1" l="1"/>
  <c r="A354" i="1"/>
  <c r="A353" i="1"/>
  <c r="A352" i="1"/>
  <c r="A351" i="1"/>
  <c r="A350" i="1"/>
  <c r="A349" i="1"/>
  <c r="A348" i="1"/>
  <c r="A347" i="1"/>
  <c r="A346" i="1"/>
  <c r="A345" i="1"/>
  <c r="A321" i="1"/>
  <c r="A320" i="1"/>
  <c r="A319" i="1"/>
  <c r="A318" i="1"/>
  <c r="A317" i="1"/>
  <c r="A315" i="1"/>
  <c r="A314" i="1"/>
  <c r="A312" i="1"/>
  <c r="A311" i="1"/>
  <c r="A310" i="1"/>
  <c r="A303" i="1"/>
  <c r="A283" i="1"/>
  <c r="A282" i="1"/>
  <c r="A281" i="1"/>
  <c r="A280" i="1"/>
  <c r="A279" i="1"/>
  <c r="A278" i="1"/>
  <c r="A277" i="1"/>
  <c r="A275" i="1" l="1"/>
  <c r="A274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11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1" i="1"/>
  <c r="A433" i="1"/>
  <c r="A432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 l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 l="1"/>
  <c r="A373" i="1"/>
  <c r="A372" i="1" l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44" i="1"/>
  <c r="A343" i="1" l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 l="1"/>
  <c r="A324" i="1"/>
  <c r="A323" i="1"/>
  <c r="A322" i="1" l="1"/>
  <c r="A316" i="1"/>
  <c r="A313" i="1" l="1"/>
  <c r="A309" i="1"/>
  <c r="A308" i="1"/>
  <c r="A307" i="1"/>
  <c r="A306" i="1"/>
  <c r="A305" i="1"/>
  <c r="A304" i="1"/>
  <c r="A302" i="1"/>
  <c r="A301" i="1"/>
  <c r="A300" i="1"/>
  <c r="A299" i="1"/>
  <c r="A298" i="1"/>
  <c r="A297" i="1"/>
  <c r="A296" i="1"/>
  <c r="A286" i="1"/>
  <c r="A285" i="1"/>
  <c r="A295" i="1"/>
  <c r="A294" i="1"/>
  <c r="A293" i="1"/>
  <c r="A292" i="1"/>
  <c r="A291" i="1"/>
  <c r="A290" i="1"/>
  <c r="A289" i="1"/>
  <c r="A288" i="1"/>
  <c r="A287" i="1"/>
  <c r="A284" i="1"/>
  <c r="A276" i="1"/>
  <c r="A273" i="1"/>
  <c r="A272" i="1" l="1"/>
  <c r="A271" i="1"/>
  <c r="A270" i="1"/>
  <c r="A269" i="1" l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 l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41" i="1" l="1"/>
  <c r="A140" i="1"/>
  <c r="A139" i="1"/>
  <c r="A138" i="1"/>
  <c r="A137" i="1"/>
  <c r="A142" i="1" l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</calcChain>
</file>

<file path=xl/sharedStrings.xml><?xml version="1.0" encoding="utf-8"?>
<sst xmlns="http://schemas.openxmlformats.org/spreadsheetml/2006/main" count="1796" uniqueCount="1434">
  <si>
    <t>Anja Schiel</t>
  </si>
  <si>
    <t>date</t>
  </si>
  <si>
    <t>title</t>
  </si>
  <si>
    <t>talknr</t>
  </si>
  <si>
    <t>speaker</t>
  </si>
  <si>
    <t>company</t>
  </si>
  <si>
    <t>slides</t>
  </si>
  <si>
    <t>recording</t>
  </si>
  <si>
    <t>https://streamingmedia.roche.com/media/BBS+virtual+seminarA+COVID-19+pandemic+%26+how+we+deal+with+data/1_lguf3l7i</t>
  </si>
  <si>
    <t>Joint BBS/BES Webinar COVID-19 pandemic and how we deal with data</t>
  </si>
  <si>
    <t>Tim Friede</t>
  </si>
  <si>
    <t>Thorsten Lehr</t>
  </si>
  <si>
    <t>Thierry Van Effelterre</t>
  </si>
  <si>
    <t>University Medical Center Göttingen</t>
  </si>
  <si>
    <t>Saarland University</t>
  </si>
  <si>
    <t>J&amp;J</t>
  </si>
  <si>
    <t>Fei Chen</t>
  </si>
  <si>
    <t>Janssen</t>
  </si>
  <si>
    <t>Data and Statistics as a basis for decision making: A discussion of the Corona pandemic</t>
  </si>
  <si>
    <t>Forecasting: What do we learn?</t>
  </si>
  <si>
    <t>Vaccination trials: What do we know about long-term efficacy measures and other questions</t>
  </si>
  <si>
    <t>Statistical Considerations Underlying a COVID-19 Vaccine phase 3 design</t>
  </si>
  <si>
    <t>2_Friede.pdf</t>
  </si>
  <si>
    <t>3_Lehr.pdf</t>
  </si>
  <si>
    <t>4_Effelterre.pdf</t>
  </si>
  <si>
    <t>5_Chen.pdf</t>
  </si>
  <si>
    <t>seminar_title</t>
  </si>
  <si>
    <t>Fred Sorensen</t>
  </si>
  <si>
    <t>https://streamingmedia.roche.com/media/t/1_794su8nj</t>
  </si>
  <si>
    <t>Dan O’Connor</t>
  </si>
  <si>
    <t>MHRA, UK</t>
  </si>
  <si>
    <t>Karen Facey</t>
  </si>
  <si>
    <t>University of Edinburgh</t>
  </si>
  <si>
    <t>The UK’s Innovative Licensing and Access Pathway (ILAP) for medicines – A joint MHRA, NICE &amp; SMC initiative</t>
  </si>
  <si>
    <t>Xcenda</t>
  </si>
  <si>
    <t>Welcome</t>
  </si>
  <si>
    <t>IMPACT HTA - Recommendations for Developing Rare Disease Treatments</t>
  </si>
  <si>
    <t>Paul Cislo, Jinma Ren and Joseph C. Cappelleri</t>
  </si>
  <si>
    <t>Pfizer</t>
  </si>
  <si>
    <t>Adjusting Global Survival to Make Results More Relevant and Generalizable to Local Markets</t>
  </si>
  <si>
    <t>Net benefit and correlation between benefit and harms</t>
  </si>
  <si>
    <t>Marc Buyse</t>
  </si>
  <si>
    <t>IDDI and University of Hasselt, Belgium</t>
  </si>
  <si>
    <t>Closing the efficacy to effectiveness gap: Generalizing from RCTs to real world populations</t>
  </si>
  <si>
    <t>Mark Belger and Marie-Ange Paget</t>
  </si>
  <si>
    <t>Eli Lilly UK &amp; France</t>
  </si>
  <si>
    <t>Assessments and reimbursement of gene expression signature tests in Europe</t>
  </si>
  <si>
    <t>Kirsten Herrmann</t>
  </si>
  <si>
    <t>Exact Sciences, Germany</t>
  </si>
  <si>
    <t>Janneke Boersma</t>
  </si>
  <si>
    <t>Bridging the gap between Regulatory &amp; HTA approval for Precision Medicine therapies: a case study from the Netherlands</t>
  </si>
  <si>
    <t>Roche, Netherlands</t>
  </si>
  <si>
    <t>Joint EFSPI/BBS Meeting Precision &amp; Innovative Medicine and Health Technology Assessment</t>
  </si>
  <si>
    <t>1_Sorensen.pdf</t>
  </si>
  <si>
    <t>2_OConnor.pdf</t>
  </si>
  <si>
    <t>3_Facey.pdf</t>
  </si>
  <si>
    <t>4_Cislo.pdf</t>
  </si>
  <si>
    <t>5_Buyse.pdf</t>
  </si>
  <si>
    <t>6_Belger.pdf</t>
  </si>
  <si>
    <t>7_Herrmann.pdf</t>
  </si>
  <si>
    <t>8_Boersma.pdf</t>
  </si>
  <si>
    <t>BBS Webinar Impact of the COVID-19 Pandemic on Clinical Trials</t>
  </si>
  <si>
    <t>https://streamingmedia.roche.com/media/BBS%20Seminar_Impact%20of%20the%20COVID-19%20pandemic%20on%20clinical%20trials_16JUN2021_Recording/1_29yj4985</t>
  </si>
  <si>
    <t>Overview on early experience of the impact of Covid-19 pandemic on clinical trials</t>
  </si>
  <si>
    <t>Chair Scientific Advice Working Party, EMA</t>
  </si>
  <si>
    <t>Paul Delmar</t>
  </si>
  <si>
    <t>Roche, Basel</t>
  </si>
  <si>
    <t>COVID-19 pandemics : Impact on Clinical Trials in a chronic progressing disease</t>
  </si>
  <si>
    <t>Eva Hua</t>
  </si>
  <si>
    <t>Novartis, Basel</t>
  </si>
  <si>
    <t>The hypothetical estimand and its potential estimators in clinical trials impacted by COVID-19</t>
  </si>
  <si>
    <t>Hypothetical strategy for a case study affected by COVID-19 pandemic</t>
  </si>
  <si>
    <t>Kelly Van Lancker</t>
  </si>
  <si>
    <t>Ghent University</t>
  </si>
  <si>
    <t>1_Schiel.pdf</t>
  </si>
  <si>
    <t>2_Delmar.pdf</t>
  </si>
  <si>
    <t>3_Hua.pdf</t>
  </si>
  <si>
    <t>4_VanLancker.pdf</t>
  </si>
  <si>
    <t>BBS Webinar Statistical challenges in the clinical development of CAR T-cell therapies</t>
  </si>
  <si>
    <t>https://streamingmedia.roche.com/media/BBS%20Seminar_%20CAR-T%20Cell%20Therapies_22MAR2021_Recording/1_jl5ndejn</t>
  </si>
  <si>
    <t>01_Marion-Gallois.pdf</t>
  </si>
  <si>
    <t>02_Arber.pdf</t>
  </si>
  <si>
    <t>03_Asikanius.pdf</t>
  </si>
  <si>
    <t>04_Xu.pdf</t>
  </si>
  <si>
    <t>05_Rantell.pdf</t>
  </si>
  <si>
    <t>06_Previtali.pdf</t>
  </si>
  <si>
    <t>07_Yateman.pdf</t>
  </si>
  <si>
    <t>08_Ciani.pdf</t>
  </si>
  <si>
    <t>09_Smith.pdf</t>
  </si>
  <si>
    <t>10_Pasquini.pdf</t>
  </si>
  <si>
    <t>Welcome and Introduction</t>
  </si>
  <si>
    <t>Roland Marion-Gallois</t>
  </si>
  <si>
    <t>BMS, Switzerland</t>
  </si>
  <si>
    <t>Introduction to Cell Therapies: A Clinical Perspective</t>
  </si>
  <si>
    <t>CHUV, Switzerland</t>
  </si>
  <si>
    <t>Caroline Aarber Bath</t>
  </si>
  <si>
    <t>Perspective from EMA</t>
  </si>
  <si>
    <t>Elina Asikanius</t>
  </si>
  <si>
    <t>FIMEA, Finland</t>
  </si>
  <si>
    <t>Perspective from FDA</t>
  </si>
  <si>
    <t>Zhenzhen Xu</t>
  </si>
  <si>
    <t>FDA, USA</t>
  </si>
  <si>
    <t>Phase 2 / Phase 3, Treatment effect or therapeutic strategy effect?</t>
  </si>
  <si>
    <t>Khadija Rantell</t>
  </si>
  <si>
    <t>Phase 2 / Phase 3, Estimands in the context of cell therapy development</t>
  </si>
  <si>
    <t>Alessandro Previtali</t>
  </si>
  <si>
    <t>Challenges for new CAR-T therapies</t>
  </si>
  <si>
    <t>Novartis, Switzerland</t>
  </si>
  <si>
    <t>Nigel Yateman</t>
  </si>
  <si>
    <t>Introduction on Post-Approval challenges, reimbursement and HTA assessments</t>
  </si>
  <si>
    <t>Università Bocconi, Italy</t>
  </si>
  <si>
    <t>Oriana Ciani</t>
  </si>
  <si>
    <t>HTA-Perspective on the assessment of CAR-T-Cell Therapies</t>
  </si>
  <si>
    <t>Andrea Smith</t>
  </si>
  <si>
    <t>G-BA, Germany</t>
  </si>
  <si>
    <t>CAR-T cell therapy registries</t>
  </si>
  <si>
    <t>Marcelo Pasquini and Zhenuan Hu</t>
  </si>
  <si>
    <t>CIBMTR, USA</t>
  </si>
  <si>
    <t>Graphics for decision-making in biomedical research and drug development</t>
  </si>
  <si>
    <t>https://streamingmedia.roche.com/media/BBS%20Seminar_%20Graphics%20for%20decision-making_08MAR2021_Recording/1_giyubkcv</t>
  </si>
  <si>
    <t>Hans Ulrich Burger</t>
  </si>
  <si>
    <t>Dominik Heinzmann</t>
  </si>
  <si>
    <t>MIT and Novartis</t>
  </si>
  <si>
    <t>Hannah Diehl and Tamara Broderick / Andy Stein and Niladri Roy Chowdhury</t>
  </si>
  <si>
    <t>The "See"-Value App: Visual Decision Making for Drug Development</t>
  </si>
  <si>
    <t>Neil McQuarrie</t>
  </si>
  <si>
    <t>Flatiron</t>
  </si>
  <si>
    <t>Better understanding and reacting on impact of COVID-19 on RWD collection by combining statistics with visualization</t>
  </si>
  <si>
    <t>Tadeusz Lewandowski</t>
  </si>
  <si>
    <t>Interactive clinical study visualisation in enabling the faster decision making</t>
  </si>
  <si>
    <t>Markus Lange</t>
  </si>
  <si>
    <t>Unraveling a single number – using graphics to explain Probability of Success</t>
  </si>
  <si>
    <t>Anne-Marie Meyer</t>
  </si>
  <si>
    <t>Population Level Analytics for pandemic response: Predicting vaccine uptake and vaccine hesitancy</t>
  </si>
  <si>
    <t>Giusi Moffa</t>
  </si>
  <si>
    <t>University of Basel</t>
  </si>
  <si>
    <t>Closure</t>
  </si>
  <si>
    <t>2_Diehl.pdf</t>
  </si>
  <si>
    <t>3_McQuarrie.pdf</t>
  </si>
  <si>
    <t>4_Lewandowski.pdf</t>
  </si>
  <si>
    <t>5_Lange.pdf</t>
  </si>
  <si>
    <t>6_Meyer.pdf</t>
  </si>
  <si>
    <t>Joint EFSPI / BBS Webinar: The application of estimands from a Neuroscience perspective</t>
  </si>
  <si>
    <t>https://streamingmedia.roche.com/media/Joint+EFSPI+++BBS+SeminarA+%22The+application+of+estimands+from+a+Neuroscience+perspective%22-20201103+1202-1_202243567/0_4g72gvb4</t>
  </si>
  <si>
    <t>Welcome and introduction to the estimand framework</t>
  </si>
  <si>
    <t>1_Burger.pdf</t>
  </si>
  <si>
    <t>Nikolaos Sfikas</t>
  </si>
  <si>
    <t>Outline of an estimand strategy in MS</t>
  </si>
  <si>
    <t>2_Sfikas.pdf</t>
  </si>
  <si>
    <t>Lundbeck and Novartis</t>
  </si>
  <si>
    <t>Mette Krog Josiassen and Peter Quarg</t>
  </si>
  <si>
    <t>Outline of an estimand proposal in migraine prevention and neuropathic pain</t>
  </si>
  <si>
    <t>3_Krog.pdf</t>
  </si>
  <si>
    <t>Using the Estimand Framework to address challenges in AD clinical trial with a closer look at the hypothetical strategy</t>
  </si>
  <si>
    <t>4_Delmar.pdf</t>
  </si>
  <si>
    <t>Carrie Li</t>
  </si>
  <si>
    <t>Estimands in Huntington’s disease</t>
  </si>
  <si>
    <t>5_Li.pdf</t>
  </si>
  <si>
    <t>Andrew Hartley</t>
  </si>
  <si>
    <t>PPDI</t>
  </si>
  <si>
    <t>Impact of Covid-19 on studies in Neuroscience</t>
  </si>
  <si>
    <t>6_Hartley.pdf</t>
  </si>
  <si>
    <t>Joel Raffel and Khadija Rantell</t>
  </si>
  <si>
    <t>Regulatory aspects of the estimand framework: Clinical and statistical perspectives</t>
  </si>
  <si>
    <t>7_Raffel.pdf</t>
  </si>
  <si>
    <t>Panel discussion including all speakers</t>
  </si>
  <si>
    <t>8_Schiel.pdf</t>
  </si>
  <si>
    <t>BBS Webinar RCTs meeting causal inference: principal stratum strategy and beyond</t>
  </si>
  <si>
    <t>https://streamingmedia.roche.com/media/BBS_RCTs+meeting+causal+inferenceA+principal+stratum+strategy+and+beyond-20200907+1200-1_188928352/0_gqww13rq</t>
  </si>
  <si>
    <t>1_Rufibach.pdf</t>
  </si>
  <si>
    <t>2_Didelez.pdf</t>
  </si>
  <si>
    <t>3_Bowden.pdf</t>
  </si>
  <si>
    <t>4_vanLancker.pdf</t>
  </si>
  <si>
    <t>5_Bornkamp.pdf</t>
  </si>
  <si>
    <t>6_Heinzmann.pdf</t>
  </si>
  <si>
    <t>7_Zia.pdf</t>
  </si>
  <si>
    <t>8_Mealli.pdf</t>
  </si>
  <si>
    <t>Kaspar Rufibach</t>
  </si>
  <si>
    <t>Vanessa Didelez</t>
  </si>
  <si>
    <t>Jack Bowden</t>
  </si>
  <si>
    <t>Kelly van Lancker</t>
  </si>
  <si>
    <t>Björn Bornkamp</t>
  </si>
  <si>
    <t>Aiesha Zia</t>
  </si>
  <si>
    <t>Fabrizia Mealli</t>
  </si>
  <si>
    <t>10_QandA.pdf</t>
  </si>
  <si>
    <t>All</t>
  </si>
  <si>
    <t>Question and Answers</t>
  </si>
  <si>
    <t>Keynote speaker, Leibniz Institute for Prevention Research and Epidemiology, BIPS, Bremen</t>
  </si>
  <si>
    <t>University of Exeter</t>
  </si>
  <si>
    <t>University of Florence</t>
  </si>
  <si>
    <t>The ICH E9 addendum from an academic causal inference perspective and feedback on the previous talks</t>
  </si>
  <si>
    <t>Next webinars and closure</t>
  </si>
  <si>
    <t>Exploring estimation approaches for principal stratum estimands in Phase III randomized trials in CAR-T anti-cancer therapy</t>
  </si>
  <si>
    <t>Principal stratum strategy to investigate anti-drug antibody impact on cancer immunotherapy outcome</t>
  </si>
  <si>
    <t>Principal Stratum Strategy: Potential Role in Drug Development</t>
  </si>
  <si>
    <t>Efficient, doubly robust estimation of the effect of dose switching for switchers in a randomised clinical trial</t>
  </si>
  <si>
    <t>Connecting Instrumental Variable methods for causal inference to the Estimand Framework</t>
  </si>
  <si>
    <t>Time-Varying Treatments in Observational Studies: Lessons for Clinical Trials</t>
  </si>
  <si>
    <t>Welcome and scene setting</t>
  </si>
  <si>
    <t>BBS/EFSPI Webinar on HTA</t>
  </si>
  <si>
    <t>https://streamingmedia.roche.com/media/1_jtcj5hqp</t>
  </si>
  <si>
    <t>Chrissie Fletcher</t>
  </si>
  <si>
    <t>GSK, UK</t>
  </si>
  <si>
    <t>Christoph Schürmann</t>
  </si>
  <si>
    <t>IQWiG, Germany</t>
  </si>
  <si>
    <t>Lara Wolfson</t>
  </si>
  <si>
    <t>Merck, USA</t>
  </si>
  <si>
    <t>Mark Nuijten</t>
  </si>
  <si>
    <t>A2M and Univ. of Maastricht, NL &amp; ITU, Turkey</t>
  </si>
  <si>
    <t>Fred Sorenson</t>
  </si>
  <si>
    <t>Celebrating 10 Years HTA SIG</t>
  </si>
  <si>
    <t>Health-related quality of life endpoints in benefit assessments: Demands and challenges as seen by IQWiG in Germany</t>
  </si>
  <si>
    <t>Issues related to transparency with HTA dossiers</t>
  </si>
  <si>
    <t>An innovative pricing model to assess the price of expensive drugs with an orphan indication</t>
  </si>
  <si>
    <t>Introduction to moderated panel discussion</t>
  </si>
  <si>
    <t>1_Fletcher.pdf</t>
  </si>
  <si>
    <t>2_Schuermann.pdf</t>
  </si>
  <si>
    <t>3_Wolfson.pdf</t>
  </si>
  <si>
    <t>4_Nuijten.pdf</t>
  </si>
  <si>
    <t>5_Sorensen.pdf</t>
  </si>
  <si>
    <t>Joint EFSPI / BBS Webinar: Estimands addendum is final: Anything new for oncology?</t>
  </si>
  <si>
    <t>https://streamingmedia.roche.com/media/Joint+EFSPI+++BBS+SeminarA+Estimands+addendum+is+finalA+Anything+new+for+oncologyF/1_3wavzkyv</t>
  </si>
  <si>
    <t>Experience with the estimand framework in oncology</t>
  </si>
  <si>
    <t>Renaud Capdeville</t>
  </si>
  <si>
    <t>Challenges and open questions in hematology: RATIFY</t>
  </si>
  <si>
    <t>Tina Nielsen</t>
  </si>
  <si>
    <t>Hannes Buchner and Ingolf Griebsch</t>
  </si>
  <si>
    <t>Staburo and Boehringer-Ingelheim</t>
  </si>
  <si>
    <t>Challenges and open questions in hematology: GALLIUM</t>
  </si>
  <si>
    <t>Treatment switching: challenges, estimands, and estimators</t>
  </si>
  <si>
    <t>Stefan Englert</t>
  </si>
  <si>
    <t>Abbvie</t>
  </si>
  <si>
    <t>Commentary on previous talks taking COVID-19 into account</t>
  </si>
  <si>
    <t>7_QandA.pdf</t>
  </si>
  <si>
    <t>2_Schiel.pdf</t>
  </si>
  <si>
    <t>3_Capdeville.pdf</t>
  </si>
  <si>
    <t>4_Nielsen.pdf</t>
  </si>
  <si>
    <t>5_Griebsch_Buchner.pdf</t>
  </si>
  <si>
    <t>6_Englert.pdf</t>
  </si>
  <si>
    <t>BBS Webinar: Aspects of COVID-19 pandemic</t>
  </si>
  <si>
    <t>Sanofi Pasteur</t>
  </si>
  <si>
    <t>Jean Lang</t>
  </si>
  <si>
    <t>Overview on SARS-CoV2 and Challenges for COVID-19 Vaccine Development at Pandemic Speed</t>
  </si>
  <si>
    <t>ISPM, University of Bern</t>
  </si>
  <si>
    <t>Christian Althaus</t>
  </si>
  <si>
    <t>Early transmission, pandemic spread and severity of COVID-19</t>
  </si>
  <si>
    <t>Karin Meiser</t>
  </si>
  <si>
    <t>Specific aspects of a clinical trial targeting Covid-19</t>
  </si>
  <si>
    <t>Jenny Devenport</t>
  </si>
  <si>
    <t>The influence of investigator initiated studies in the COVID-19 pandemic</t>
  </si>
  <si>
    <t>1_Lang.pdf</t>
  </si>
  <si>
    <t>2_Althaus.pdf</t>
  </si>
  <si>
    <t>3_Meiser.pdf</t>
  </si>
  <si>
    <t>4_Devenport.pdf</t>
  </si>
  <si>
    <t>BBS Virtual Seminar: Impact of COVID-19 on clinical trials</t>
  </si>
  <si>
    <t>Natalie Dimier</t>
  </si>
  <si>
    <t>Mouna Akacha</t>
  </si>
  <si>
    <t>Cristina Sotto</t>
  </si>
  <si>
    <t>Marcel Wolbers</t>
  </si>
  <si>
    <t>Evgeny Degtyarev</t>
  </si>
  <si>
    <t>EMA perspective and guidance on COVID-19</t>
  </si>
  <si>
    <t>EMA</t>
  </si>
  <si>
    <t>Roche, Welwyn</t>
  </si>
  <si>
    <t>Industry perspective on COVID-19 (1/3)</t>
  </si>
  <si>
    <t>Industry perspective on COVID-19 (2/3)</t>
  </si>
  <si>
    <t>Industry perspective on COVID-19 (3/3)</t>
  </si>
  <si>
    <t>Short Overview of Pharmaceutical Industry COVID-19 Biostatistics Working Group</t>
  </si>
  <si>
    <t>Short overview on COVID-19 from the Cross-Industry Oncology Estimands Working Group</t>
  </si>
  <si>
    <t>1_Petavy.pdf</t>
  </si>
  <si>
    <t>2_Dimier.pdf</t>
  </si>
  <si>
    <t>3_Akacha.pdf</t>
  </si>
  <si>
    <t>4_Sotto.pdf</t>
  </si>
  <si>
    <t>5_Wolbers.pdf</t>
  </si>
  <si>
    <t>6_Degtyarev.pdf</t>
  </si>
  <si>
    <t>BBS Seminar: Network meta-analysis: methods and applications</t>
  </si>
  <si>
    <t>Sylwia Bujkiewicz</t>
  </si>
  <si>
    <t> Bivariate network meta-analysis for surrogate endpoint evaluation</t>
  </si>
  <si>
    <t>Gerta Rücker</t>
  </si>
  <si>
    <t> Component network meta-analysis compared to a matching method in a disconnected network: a case study</t>
  </si>
  <si>
    <t>Georgia Salanti</t>
  </si>
  <si>
    <t> CINeMA: a framework and web application to evaluate the confidence in network meta-analysis results</t>
  </si>
  <si>
    <t>Mark Pletscher</t>
  </si>
  <si>
    <t>Bartosz Jenner</t>
  </si>
  <si>
    <t>Marius Thomas</t>
  </si>
  <si>
    <t> A network meta-analysis to compare efficacy of treatment options for relapsing-remitting multiple sclerosis</t>
  </si>
  <si>
    <t> Network meta-analysis of treatments for previously untreated metastatic PD-L1-positive triple-negative breast cancer</t>
  </si>
  <si>
    <t>1_Bujkiewicz.pdf</t>
  </si>
  <si>
    <t>2_Ruecker.pdf</t>
  </si>
  <si>
    <t>3_Salanti.pdf</t>
  </si>
  <si>
    <t>4_Pletscher.pdf</t>
  </si>
  <si>
    <t>BBS Seminar: Predictive modelling, machine learning and causality</t>
  </si>
  <si>
    <t>Ewout Steyerberg</t>
  </si>
  <si>
    <t> Clinical prediction models in the age of artificial intelligence and big data</t>
  </si>
  <si>
    <t>Willi Sauerbrei</t>
  </si>
  <si>
    <t> The EQUATOR networkand guidelines for prediction models</t>
  </si>
  <si>
    <t>Torsten Hothorn</t>
  </si>
  <si>
    <t> Score-based transformation learning</t>
  </si>
  <si>
    <t>Peter Bühlmann</t>
  </si>
  <si>
    <t> Causal regularization for distributional robustness and replicability</t>
  </si>
  <si>
    <t> Predicting putative intervention effects after causal structure learning from survey data</t>
  </si>
  <si>
    <t>Andrew Shattock</t>
  </si>
  <si>
    <t xml:space="preserve"> Using machine learning and disease models to evaluate target product profiles of novel interventions (No slide deck available)</t>
  </si>
  <si>
    <t> Identifying high-risk patients in Non-Hodgkin lymphoma (and trying to get insights into the disease biology)</t>
  </si>
  <si>
    <t>Mark Baillie</t>
  </si>
  <si>
    <t> Novartis benchmarking initiative: making sense of AI</t>
  </si>
  <si>
    <t>Chris Harbron</t>
  </si>
  <si>
    <t> Experiences from running internal prediction challenges within a pharmaceutical company</t>
  </si>
  <si>
    <t>1_Steyerberg.pdf</t>
  </si>
  <si>
    <t>2_Sauerbrei.pdf</t>
  </si>
  <si>
    <t>3_Hothorn.pdf</t>
  </si>
  <si>
    <t>4_Buehlmann.pdf</t>
  </si>
  <si>
    <t>7_Mattiello.pdf</t>
  </si>
  <si>
    <t>8_Baillie.pdf</t>
  </si>
  <si>
    <t>9_Harbron.pdf</t>
  </si>
  <si>
    <t>Federico Mattiello</t>
  </si>
  <si>
    <t>https://annlia.github.io/jPublica/BBS_201911/psychoDAGs201911.html</t>
  </si>
  <si>
    <t>link</t>
  </si>
  <si>
    <t>summary</t>
  </si>
  <si>
    <t>BBS/BES Seminar: Causal inference in drug development: why, when, how?</t>
  </si>
  <si>
    <t>Miguel Hernan</t>
  </si>
  <si>
    <t> Beyond intention-to-treat. Causal inference guidelines for causal inference</t>
  </si>
  <si>
    <t>Christine Fletcher</t>
  </si>
  <si>
    <t> The Final ICH E9(R1) E9 addendum</t>
  </si>
  <si>
    <t>Frank Pétavy</t>
  </si>
  <si>
    <t> A regulator’s perspective</t>
  </si>
  <si>
    <t>Valentine Jehl</t>
  </si>
  <si>
    <t>Thibaut Sanglier</t>
  </si>
  <si>
    <t> Implementing the Principal Stratum estimand strategy using Instrumental Variable methods: An emulation of the CANTOS trial</t>
  </si>
  <si>
    <t xml:space="preserve"> Adverse reactions confounded by prior medication: (how) can causal inference solve the problem?</t>
  </si>
  <si>
    <t xml:space="preserve"> Treatment sequencing and effectiveness: challenges and considerations</t>
  </si>
  <si>
    <t xml:space="preserve"> Principal stratification techniques in the context of regulatory decision making</t>
  </si>
  <si>
    <t>1_Hernan.pdf</t>
  </si>
  <si>
    <t>2_Fletcher.pdf</t>
  </si>
  <si>
    <t>7_Bowden.pdf</t>
  </si>
  <si>
    <t>BBS/EFSPI Seminar: Precision medicine in drug development</t>
  </si>
  <si>
    <t>Niko Beerenwinkel</t>
  </si>
  <si>
    <t>Stephen Senn</t>
  </si>
  <si>
    <t> Precision medicine: The honeymoon is over. It’s high time for tough love</t>
  </si>
  <si>
    <t>Tomasz Burzykowski</t>
  </si>
  <si>
    <t> Generalized pairwise comparisons for precision medicine</t>
  </si>
  <si>
    <t>Adam Heathfield</t>
  </si>
  <si>
    <t> Valuation of Regenerative Medicine/Advance Therapeutics (RM/ATs): Challenges and opportunities for creating a better framework</t>
  </si>
  <si>
    <t> Mutational interactions define novel cancer subgroups: can they inform precision oncology?</t>
  </si>
  <si>
    <t>Mario Ouwens</t>
  </si>
  <si>
    <t> Difficulties with network meta-analysis when starting to use PDL1 thresholds</t>
  </si>
  <si>
    <t>Georgina Bermann</t>
  </si>
  <si>
    <t> Cardiovascular medicine: approaches to the use of early biomarker response to identify a patient subgroup with enhanced therapeutic benefit</t>
  </si>
  <si>
    <t>Laurent Essioux</t>
  </si>
  <si>
    <t> Examples of personalized Healthcare at Roche: statistical perspectives</t>
  </si>
  <si>
    <t xml:space="preserve"> Bioinformatics for precision oncology</t>
  </si>
  <si>
    <t>2_Senn.pdf</t>
  </si>
  <si>
    <t>3_Burzykowski.pdf</t>
  </si>
  <si>
    <t>4_Heathfield.pdf</t>
  </si>
  <si>
    <t>5_Kuipers.pdf</t>
  </si>
  <si>
    <t>6_Ouwens.pdf</t>
  </si>
  <si>
    <t>7_Bermann.pdf</t>
  </si>
  <si>
    <t>8_Essioux.pdf</t>
  </si>
  <si>
    <t>Jack Kuipers</t>
  </si>
  <si>
    <t>BBS Spring Seminar: Synthetic controls - what do we need and how far can we go?</t>
  </si>
  <si>
    <t>Tom Brookland</t>
  </si>
  <si>
    <t> RWD/RWE Global Regulatory Overview</t>
  </si>
  <si>
    <t>Kaspar Rufibach and Hans Ulrich Burger</t>
  </si>
  <si>
    <t> External controls in drug development</t>
  </si>
  <si>
    <t>Somnath Sarkar</t>
  </si>
  <si>
    <t> Considerations for Developing External Control Arm from Real-World Data</t>
  </si>
  <si>
    <t>Laurence Colin and Yue Li</t>
  </si>
  <si>
    <t> Making better use of early phase safety data</t>
  </si>
  <si>
    <t>Cornelia Dunger-Baldauf</t>
  </si>
  <si>
    <t> For the sake of the patient – reducing placebo exposure by using historical controls</t>
  </si>
  <si>
    <t>Gonzalo Duran-Pacheco</t>
  </si>
  <si>
    <t> Electronic Health Records used to derive Control Arms for Single-Arm oncology trials: Proof of concept using RCT’s in lung cancer</t>
  </si>
  <si>
    <t> A Decision Making Framework For Utilising External Control Arms</t>
  </si>
  <si>
    <t>Meinhard Kieser</t>
  </si>
  <si>
    <t> Synthetic controls – what do we need and how far can we go? Rejoinder</t>
  </si>
  <si>
    <t>Norbert Benda</t>
  </si>
  <si>
    <t>Kit Roes</t>
  </si>
  <si>
    <t>Jan Müller-Berghaus</t>
  </si>
  <si>
    <t>1_Brookland.zip</t>
  </si>
  <si>
    <t>10_Roes.pdf</t>
  </si>
  <si>
    <t>2_Rufibach_Burger.pdf</t>
  </si>
  <si>
    <t>3_Sarkar.pdf</t>
  </si>
  <si>
    <t>4_Colin_Li.pdf</t>
  </si>
  <si>
    <t>5_DungerBaldauf.pdf</t>
  </si>
  <si>
    <t>6_Duran_Pacheco.pdf</t>
  </si>
  <si>
    <t>7_Harbron.pdf</t>
  </si>
  <si>
    <t>8_Kieser.pdf</t>
  </si>
  <si>
    <t>9_Benda.pdf</t>
  </si>
  <si>
    <t>BBS/EFSPI Seminar: Small populations and level of evidence</t>
  </si>
  <si>
    <t>Daniel O’Connor</t>
  </si>
  <si>
    <t> Rare diseases and orphan drugs: A Regulator’s (clinical)Perspectives</t>
  </si>
  <si>
    <t> In search of the lost loss function</t>
  </si>
  <si>
    <t>Henriette Thole</t>
  </si>
  <si>
    <t> The potential and challenges of registry use when generating evidence in small populations</t>
  </si>
  <si>
    <t> Rare diseases and orphan drugs:The HTA perspective</t>
  </si>
  <si>
    <t>Adele Morganti</t>
  </si>
  <si>
    <t> Borrowing external controls for an event-driven pediatric trial in PAH: a case study</t>
  </si>
  <si>
    <t>Andreas Kaiser</t>
  </si>
  <si>
    <t> Bayesian analysis for small sample size trials using informative priors derived from historical data</t>
  </si>
  <si>
    <t> Using a non-interventional study to strengthen the evidence collected in a Phase III program: a Hemophilia A case Study</t>
  </si>
  <si>
    <t> Hockey sticks and broken sticks – a design for a single-treatment double-blind randomized clinical trial suitable for chronic diseases</t>
  </si>
  <si>
    <t>European Statistical Meeting on Small populations and level of evidence</t>
  </si>
  <si>
    <t>Hans Hockey and Kristian Brock</t>
  </si>
  <si>
    <t>3_Senn.pdf</t>
  </si>
  <si>
    <t>4_Thole.pdf</t>
  </si>
  <si>
    <t>5_Schiel.pdf</t>
  </si>
  <si>
    <t>6_Morganti.pdf</t>
  </si>
  <si>
    <t>7_Kaiser.pdf</t>
  </si>
  <si>
    <t>8_Asikanius.pdf</t>
  </si>
  <si>
    <t>9_Hockey.pdf</t>
  </si>
  <si>
    <t>BBS Seminar: RCTs, personalized medicine, and surrogacy</t>
  </si>
  <si>
    <t>Everardo D. Saad</t>
  </si>
  <si>
    <t>Evaluation of Time-to-event Surrogate Endpoints Using Accelerated Failure-time Models</t>
  </si>
  <si>
    <t>Precision Medicine Needs Randomized Trials</t>
  </si>
  <si>
    <t>A statistical approach for personalized medicine and benefit / risk assessment</t>
  </si>
  <si>
    <t>1_Burzykowski.pdf</t>
  </si>
  <si>
    <t>2_Saad.pdf</t>
  </si>
  <si>
    <t>3_Buyse.pdf</t>
  </si>
  <si>
    <t>BBS Spring Seminar: New developments in HTA, adaptive designs and multiplicity – in remembrance of Willi Maurer</t>
  </si>
  <si>
    <t>Jason Wang</t>
  </si>
  <si>
    <t>Christoph Gerlinger</t>
  </si>
  <si>
    <t>Susan Edwards</t>
  </si>
  <si>
    <t>Carsten Schwenke</t>
  </si>
  <si>
    <t>Sense and sensibility of estimands for health technology assessment (HTA)</t>
  </si>
  <si>
    <t>EQ-5D-5L Utility Index for different countries</t>
  </si>
  <si>
    <t>Whose perspective? Implications on cost-effectiveness modelling of differences between country value sets (a case study)</t>
  </si>
  <si>
    <t>Real World Evidence and HTA – Experiences with IQWiG</t>
  </si>
  <si>
    <t>HTA AND SAFETY Some results of the ATF / APF Project Group</t>
  </si>
  <si>
    <t>1_Wang.pdf</t>
  </si>
  <si>
    <t>2_Gerliner.pdf</t>
  </si>
  <si>
    <t>3_Edwards.pdf</t>
  </si>
  <si>
    <t>4_Schwenke.pdf</t>
  </si>
  <si>
    <t>5_Friede.pdf</t>
  </si>
  <si>
    <t>BBS Seminar: Competing Risks and Multi-State Models</t>
  </si>
  <si>
    <t>Claudia Schmoor</t>
  </si>
  <si>
    <t> Competing risks with applications to oncology</t>
  </si>
  <si>
    <t>Jan Beyersmann</t>
  </si>
  <si>
    <t> Analysis of co-time-to-event outcomes in randomized clinical trials</t>
  </si>
  <si>
    <t>Ekkehard Glimm and Lillian Yau</t>
  </si>
  <si>
    <t> A discrete semi-Markov model for the effect of need-based treatments on the disease states</t>
  </si>
  <si>
    <t>1_Schmoor.pdf</t>
  </si>
  <si>
    <t>2_Beyersmann.pdf</t>
  </si>
  <si>
    <t>3_Glimm.pdf</t>
  </si>
  <si>
    <t>BBS Seminar: Future of Biomedical Research: Are we ready?</t>
  </si>
  <si>
    <t>BBS Seminar Emerging topics for statistical methodology in drug development: Estimands and advanced analytics</t>
  </si>
  <si>
    <t>BBS / PSI 1-Day Scientific Meeting: Empower the immune system to fight cancer</t>
  </si>
  <si>
    <t>Jorge Martinalbo</t>
  </si>
  <si>
    <t> Realising the potential of cancer immunotherapy</t>
  </si>
  <si>
    <t>Andrew Stone</t>
  </si>
  <si>
    <t>Daniel Sabanés Bové</t>
  </si>
  <si>
    <t>Matt Whiley</t>
  </si>
  <si>
    <t>Claude Berge</t>
  </si>
  <si>
    <t>Sergio Fracchia</t>
  </si>
  <si>
    <t>Nicholas Latimer</t>
  </si>
  <si>
    <t>Statistical, clinical and ethical considerations when minimizing</t>
  </si>
  <si>
    <t>Statistical issues in the development of cancer immunotherapy</t>
  </si>
  <si>
    <t>Bayesian Learning in Early Phase Cancer Immunotherapy: A Case Study</t>
  </si>
  <si>
    <t>An adaptive phase II basket trial design</t>
  </si>
  <si>
    <t>Statistical Challenges in Immunotherapy: Non Proportional Hazard Model</t>
  </si>
  <si>
    <t>Challenges in development and approval: the case of cell based therapeutics</t>
  </si>
  <si>
    <t>Cancer Immunotherapy from the Health Technology Assessment (HTA) and Payer Perspectives</t>
  </si>
  <si>
    <t>Estimating survival benefit for health technology assessment: New challenges presented by immuno-oncology treatments?</t>
  </si>
  <si>
    <t>1_Martinalbo.pdf</t>
  </si>
  <si>
    <t>2_Stone.pdf</t>
  </si>
  <si>
    <t>3_Sabanes.pdf</t>
  </si>
  <si>
    <t>4_Whiley.pdf</t>
  </si>
  <si>
    <t>5_Heinzmann.pdf</t>
  </si>
  <si>
    <t>6_Berge.pdf</t>
  </si>
  <si>
    <t>7_Fracchia.pdf</t>
  </si>
  <si>
    <t>8_Sorensen.pdf</t>
  </si>
  <si>
    <t>9_Latimer.pdf</t>
  </si>
  <si>
    <t>BBS Seminar Innovative model-based dose escalation designs: what next?</t>
  </si>
  <si>
    <t> Model-based D/E designs: Current status and next steps</t>
  </si>
  <si>
    <t>Daniel Lorand</t>
  </si>
  <si>
    <t> Tailoring dose escalation designs to early clinical development goals</t>
  </si>
  <si>
    <t>Andreas Krause</t>
  </si>
  <si>
    <t> Guiding dose escalation studies in Phase 1 with unblinded modeling</t>
  </si>
  <si>
    <t>1_Sabanes.pdf</t>
  </si>
  <si>
    <t>2_Lorand.pdf</t>
  </si>
  <si>
    <t>3_Krause.pdf</t>
  </si>
  <si>
    <t>BBS Spring Seminar The use of external data for decision making</t>
  </si>
  <si>
    <t>David Evans</t>
  </si>
  <si>
    <t>Ralf Bender</t>
  </si>
  <si>
    <t>Frank Bretz</t>
  </si>
  <si>
    <t>David Dejardin</t>
  </si>
  <si>
    <t>Eva-Maria Didden</t>
  </si>
  <si>
    <t>Dynamic borrowing of historical data: Performance and comparison of existing methods based on a case study</t>
  </si>
  <si>
    <t>GetReal: 3 Years on!</t>
  </si>
  <si>
    <t>The Use of External Data for Decision Making</t>
  </si>
  <si>
    <t>Threshold-crossing: A Useful Way to Establish the Counterfactual in Clinical Trials?</t>
  </si>
  <si>
    <t>Use of registries and observational data in the benefit assessment of medical interventions</t>
  </si>
  <si>
    <t>Reality and Real-World Data</t>
  </si>
  <si>
    <t>1_Evans.pdf</t>
  </si>
  <si>
    <t>2_Bender.pdf</t>
  </si>
  <si>
    <t>3_Bretz.pdf</t>
  </si>
  <si>
    <t>4_Dejardin.pdf</t>
  </si>
  <si>
    <t>5_Didden.pdf</t>
  </si>
  <si>
    <t>6_Friede.pdf</t>
  </si>
  <si>
    <t>BBS Seminar: Biomarker analyses</t>
  </si>
  <si>
    <t>BBS Seminar: Safety monitoring during the life cycle of a drug</t>
  </si>
  <si>
    <t>Conny Berlin</t>
  </si>
  <si>
    <t>Yusuf Tanrikulu</t>
  </si>
  <si>
    <t>Pritibha Singh</t>
  </si>
  <si>
    <t>Gianmario Candore</t>
  </si>
  <si>
    <t>Soheila Aghlmandi</t>
  </si>
  <si>
    <t>Adverse Drug Reaction (ADR) screening in clinical trials</t>
  </si>
  <si>
    <t>Screening for adverse reactions in EudraVigilance</t>
  </si>
  <si>
    <t>Choice of priors in rare events meta-analysis</t>
  </si>
  <si>
    <t>Signal Detection – Quantitative Analysis of Safety Data</t>
  </si>
  <si>
    <t>Safety monitoring during the life cycle of a drug</t>
  </si>
  <si>
    <t>1_Berlin.pdf</t>
  </si>
  <si>
    <t>2_Tanrikulu.pdf</t>
  </si>
  <si>
    <t>3_Singh.pdf</t>
  </si>
  <si>
    <t>4_Candore.pdf</t>
  </si>
  <si>
    <t>5_Aghlmandi.pdf</t>
  </si>
  <si>
    <t>BBS Seminar: Synthesis of Evidence: Observational studies and Meta-analysis</t>
  </si>
  <si>
    <t>BBS Seminar: Missing Data and Graphical Models</t>
  </si>
  <si>
    <t>9_Moffa.pdf</t>
  </si>
  <si>
    <t>PSI/BBS One Day Meeting: Time-to-Event and Recurrent Event Endpoints</t>
  </si>
  <si>
    <t xml:space="preserve">BBS Seminar: Adaptive Designs </t>
  </si>
  <si>
    <t>Frank Petavy</t>
  </si>
  <si>
    <t>1_Koenig.pdf</t>
  </si>
  <si>
    <t>2_Bauer.pdf</t>
  </si>
  <si>
    <t>3_Lawrence.pdf</t>
  </si>
  <si>
    <t>Franz König</t>
  </si>
  <si>
    <t>Peter Bauer</t>
  </si>
  <si>
    <t>David Lawrence</t>
  </si>
  <si>
    <t>Alexander Strasak</t>
  </si>
  <si>
    <t>Regulatory and methodological issues in adaptive designs for confirmatory trials</t>
  </si>
  <si>
    <t>DMC membership experience</t>
  </si>
  <si>
    <t>Using a DMC for dose selection in a phase IIb/III adaptive design: the INHANCE study</t>
  </si>
  <si>
    <t>Adaptive seamless phase II/III study in gastric cancer</t>
  </si>
  <si>
    <t>BBS Spring Seminar</t>
  </si>
  <si>
    <t>Beat Neuenschwander</t>
  </si>
  <si>
    <t>Melissa Penny</t>
  </si>
  <si>
    <t>Iain Bennett</t>
  </si>
  <si>
    <t>Viktoriya Stalbovskaya</t>
  </si>
  <si>
    <t>Daniel Sabanes</t>
  </si>
  <si>
    <t>Karine Lheritier</t>
  </si>
  <si>
    <t>Alessandro Matano</t>
  </si>
  <si>
    <t>Event projection: quantify uncertainty and manage expectations of broader teams</t>
  </si>
  <si>
    <t>Predicting milestone events for time-to-event trials</t>
  </si>
  <si>
    <t>Model-based public health impact and cost-effectiveness estimates informing the WHO recommendation on malaria vaccine RTS</t>
  </si>
  <si>
    <t>Practical aspects of handling treatment switching in randomized clinical trials</t>
  </si>
  <si>
    <t>Cancer immunotherapies: Which efficacy endpoints and statistical analyses to use?</t>
  </si>
  <si>
    <t>Non-Proportional Hazards – So What?</t>
  </si>
  <si>
    <t>Complex study design in patients with Hereditary Periodic Fevers</t>
  </si>
  <si>
    <t>Bayesian dual endpoint decision making in combination studies</t>
  </si>
  <si>
    <t>2_Neuenschwander.pdf</t>
  </si>
  <si>
    <t>5_Stalbovskaya.pdf</t>
  </si>
  <si>
    <t>6_Sabanes.pdf</t>
  </si>
  <si>
    <t>7_Stone.pdf</t>
  </si>
  <si>
    <t>9_Dejardin.pdf</t>
  </si>
  <si>
    <t>BBS Seminar: Disease and Product Registries</t>
  </si>
  <si>
    <t>Eva‐Maria Didden</t>
  </si>
  <si>
    <t>Heiner C. Bucher</t>
  </si>
  <si>
    <t>Yvonne Geissbühler</t>
  </si>
  <si>
    <t>Brian Hennessy</t>
  </si>
  <si>
    <t>Helene Karcher</t>
  </si>
  <si>
    <t>Clinical registries: Use and Emerging Best Practices</t>
  </si>
  <si>
    <t>Learning and Predicting Real‐World Treatment Effect based on Randomized Controlled Trials and Registry Data – A Case Study in Rheumatoid Arthritis</t>
  </si>
  <si>
    <t>Making Better Use of Registry Data in Designing Pragmatic Trials</t>
  </si>
  <si>
    <t>Use of Registries to Collect Pregnancy Data</t>
  </si>
  <si>
    <t>Leveraging Real‐World Registry Data to Optimize the Design of Phase 3 Studies – a Case Study in Schizophrenia</t>
  </si>
  <si>
    <t>1_Friede.pdf</t>
  </si>
  <si>
    <t>2_Didden.pdf</t>
  </si>
  <si>
    <t>3_Bucher.pdf</t>
  </si>
  <si>
    <t>4_Geissbuehler.pdf</t>
  </si>
  <si>
    <t>6_Karcher.pdf</t>
  </si>
  <si>
    <t>BBS Seminar: Prediction</t>
  </si>
  <si>
    <t>Bayesian Predictive Power: the bathtub problem</t>
  </si>
  <si>
    <t>Designing Phase 2 to predict success in Phase 3 study</t>
  </si>
  <si>
    <t>Joint BBS/EFSPI Seminar: Health Technology Assessment</t>
  </si>
  <si>
    <t>BBS Seminar: Bayesian Methods in Adaptive Dose-Finding Trials</t>
  </si>
  <si>
    <t>Ying Yuan</t>
  </si>
  <si>
    <t>Daniel Sabanes Bove</t>
  </si>
  <si>
    <t>Bayesian Learning in Oncology: A Case Study</t>
  </si>
  <si>
    <t>Bayesian Data Augmentation Continual Reassessment Method (DA-CRM) for Phase I Trials with Delayed Toxicities</t>
  </si>
  <si>
    <t>Bayesian modelling for combination dose-escalation trial that incorporates pharmacokinetic data</t>
  </si>
  <si>
    <t>2_Yuan.pdf</t>
  </si>
  <si>
    <t>3_Lorand.pdf</t>
  </si>
  <si>
    <t>Joint BBS-EFSPI Seminar: Data Sharing in Clinical Development</t>
  </si>
  <si>
    <t>Sabine Atzor</t>
  </si>
  <si>
    <t> Clinical Trial Data Transparency – Environment &amp; Expectations</t>
  </si>
  <si>
    <t>Stefan Driessen</t>
  </si>
  <si>
    <t> EFSPI position on EMA policy on publication of clinical data</t>
  </si>
  <si>
    <t> Big thunder</t>
  </si>
  <si>
    <t>Rebecca Sudlow</t>
  </si>
  <si>
    <t> Overview of Data Sharing Initiatives in Industry and Current Experiences</t>
  </si>
  <si>
    <t>Janice Branson</t>
  </si>
  <si>
    <t> Practicalities of accessing and using data – Advice for Researchers</t>
  </si>
  <si>
    <t>Sally Hollis</t>
  </si>
  <si>
    <t> Considerations for analysis plans for data sharing requests</t>
  </si>
  <si>
    <t>Katherine Tucker</t>
  </si>
  <si>
    <t>Guilliaume Breton</t>
  </si>
  <si>
    <t> Patient Confidentiality Implementation</t>
  </si>
  <si>
    <t>1_Atzor.pdf</t>
  </si>
  <si>
    <t>2_Driessen.pdf</t>
  </si>
  <si>
    <t>3_Koenig.pdf</t>
  </si>
  <si>
    <t>4_Sudlow.pdf</t>
  </si>
  <si>
    <t>5_Branson.pdf</t>
  </si>
  <si>
    <t>6_Hollis.pdf</t>
  </si>
  <si>
    <t>7_Tucker.pdf</t>
  </si>
  <si>
    <t>8_Breton.pdf</t>
  </si>
  <si>
    <t>BBS Seminar: Meta-Analysis of Clinical Safety Data</t>
  </si>
  <si>
    <t>Stephen Evans</t>
  </si>
  <si>
    <t> Do meta-analyses of adverse events have adverse effects?</t>
  </si>
  <si>
    <t>Brenda Crowe</t>
  </si>
  <si>
    <t> Comparison of Bayesian and Frequentist Meta-Analytical Approaches for Analyzing Time to Event Data</t>
  </si>
  <si>
    <t>Michael Gaffney</t>
  </si>
  <si>
    <t> Model Selection in Meta‐Analysis of Clinical Safety Data – Fixed or Random Study Effect</t>
  </si>
  <si>
    <t>Amy Xia</t>
  </si>
  <si>
    <t> Bayesian Meta-Analysis in Drug Safety Evaluation</t>
  </si>
  <si>
    <t>Jim Slattery</t>
  </si>
  <si>
    <t> Meta-analysis in EU regulation</t>
  </si>
  <si>
    <t>Tarek A. Hammad</t>
  </si>
  <si>
    <t> Sources of Bias in Meta-analysis of RCTs</t>
  </si>
  <si>
    <t>Mark Levenson</t>
  </si>
  <si>
    <t> Meta‐Analysis for Safety: Context and Examples at US FDA</t>
  </si>
  <si>
    <t>2_Crowe.pdf</t>
  </si>
  <si>
    <t>3_Gaffney.pdf</t>
  </si>
  <si>
    <t>4_Xia.pdf</t>
  </si>
  <si>
    <t>5_Slattery.pdf</t>
  </si>
  <si>
    <t>6_Hammad.pdf</t>
  </si>
  <si>
    <t>7_Levenson.pdf</t>
  </si>
  <si>
    <t>BBS Seminar: Applications for statisticians working with "Real-World Data"</t>
  </si>
  <si>
    <t>BBS seminar: Adaptive / Flexible Designs in early development</t>
  </si>
  <si>
    <t>Pamela Landsman-Blumberg</t>
  </si>
  <si>
    <t>Applications for statisticians working with “Real-World Data”</t>
  </si>
  <si>
    <t>BBS Seminar: IPD meta-analysis of treatment-covariate interaction with a continuous predictor</t>
  </si>
  <si>
    <t>1_Sauerbrei.pdf</t>
  </si>
  <si>
    <t>3_Sauerbrei.pdf</t>
  </si>
  <si>
    <t>Summary of event</t>
  </si>
  <si>
    <t>Willi Sauerbrei, Patrick Royston, Benjamin Kasenda and Matthias Briel</t>
  </si>
  <si>
    <t>A method for IPD meta-analysis of treatment-covariate interaction with a continuous predictor in randomised trials</t>
  </si>
  <si>
    <t>Willi Sauerbrei and Patrick Royston</t>
  </si>
  <si>
    <t>Towards stratified medicine – instead of dichotomization</t>
  </si>
  <si>
    <t>A new strategy for meta-analysis of continuous covariates in observational studies with IPD</t>
  </si>
  <si>
    <t> Health Technology Assessment – Why is it so important?</t>
  </si>
  <si>
    <t>Matthias Egger and Mike Chambers</t>
  </si>
  <si>
    <t> Moving HTA forward: The challenges of incorporating real world evidence into Health Technology Assessment</t>
  </si>
  <si>
    <t>Mike Chambers and Matthias Egger</t>
  </si>
  <si>
    <t> GetReal: Clinical effectiveness in drug development</t>
  </si>
  <si>
    <t>Claudia Nicolay</t>
  </si>
  <si>
    <t> Health Technology Assessment – What’s in for Stats?</t>
  </si>
  <si>
    <t>Jens Grüger</t>
  </si>
  <si>
    <t> HTA and personalized healthcare</t>
  </si>
  <si>
    <t>Skip Olson</t>
  </si>
  <si>
    <t> HTA – Use of observational</t>
  </si>
  <si>
    <t>Bruno Falissard</t>
  </si>
  <si>
    <t> The place of subjectivity in the French system (HAS): a good thing or an archaism?</t>
  </si>
  <si>
    <t> Biometrical topics of Health Technology Assessment in Germany</t>
  </si>
  <si>
    <t>Friedhelm Leverkus</t>
  </si>
  <si>
    <t> 30 Months AMNOG Health Technology Assessment: Outcomes and Issues</t>
  </si>
  <si>
    <t>Lou Garrison</t>
  </si>
  <si>
    <t> HTA in Emerging Markets: A Framework and Examples</t>
  </si>
  <si>
    <t>Richard Nixon</t>
  </si>
  <si>
    <t> Using early health economic models to support drug development decisions</t>
  </si>
  <si>
    <t> Using indirect treatment comparisons to support an HTA</t>
  </si>
  <si>
    <t>Mike Branson</t>
  </si>
  <si>
    <t> Principles to maintain patient confidentiality+H211</t>
  </si>
  <si>
    <t>1_Branson.pdf</t>
  </si>
  <si>
    <t>2_Sorensen.pdf</t>
  </si>
  <si>
    <t>3_Egger.pdf</t>
  </si>
  <si>
    <t>4_Chambers.pdf</t>
  </si>
  <si>
    <t>5_Nicolay.pdf</t>
  </si>
  <si>
    <t>6_Grueger.pdf</t>
  </si>
  <si>
    <t>7_Olson.pdf</t>
  </si>
  <si>
    <t>8_Falissard.pdf</t>
  </si>
  <si>
    <t>9_Bender.pdf</t>
  </si>
  <si>
    <t>10_Leverkus.pdf</t>
  </si>
  <si>
    <t>11_Garrison.pdf</t>
  </si>
  <si>
    <t>12_Nixon.pdf</t>
  </si>
  <si>
    <t>13_Fletcher.pdf</t>
  </si>
  <si>
    <t>summary.pdf</t>
  </si>
  <si>
    <t>BBS Seminar: Optimal Design for Non-linear Models</t>
  </si>
  <si>
    <t>Experiments for Building Enzyme Kinetic Models</t>
  </si>
  <si>
    <t>Optimal Population Designs for Non-linear Mixed Effects Models</t>
  </si>
  <si>
    <t>Anthony Atkinson</t>
  </si>
  <si>
    <t>London School of Economics</t>
  </si>
  <si>
    <t>Tobias Mielke</t>
  </si>
  <si>
    <t>Aptiv Solutions</t>
  </si>
  <si>
    <t>Barbara Bogacka</t>
  </si>
  <si>
    <t>Queen Mary College, University of London</t>
  </si>
  <si>
    <t>Population Optimum Design for Non-linear Mixed Effects Models in the Presence of Covariates</t>
  </si>
  <si>
    <t>BBS Seminar: Benefit-Risk &amp; Comparative Effectiveness</t>
  </si>
  <si>
    <t>Andrea Beyer</t>
  </si>
  <si>
    <t>Christoph Dierig and Richard Nixon</t>
  </si>
  <si>
    <t>Christian Hove Rasmussen</t>
  </si>
  <si>
    <t>Understanding the risk tolerance of regulatory assessors in Europe: the role of quantitative models in risk communication</t>
  </si>
  <si>
    <t>A case study using the BRAT framework for benefit risk assessment</t>
  </si>
  <si>
    <t>Benefit-risk assessment from a clinical point of view: a structured approach with focus on transparency</t>
  </si>
  <si>
    <t>Biometrical requirements in (early) benefit assessments</t>
  </si>
  <si>
    <t>Benefit-risk assessment and comparative effectiveness research: are they really converging?</t>
  </si>
  <si>
    <t>1_Beyer.pdf</t>
  </si>
  <si>
    <t>2_Dierig.pdf</t>
  </si>
  <si>
    <t>3_Rasmussen.pdf</t>
  </si>
  <si>
    <t>4_Bender.pdf</t>
  </si>
  <si>
    <t xml:space="preserve">BBS Seminar: Emerging Topics in Pharmaceutical Statistics </t>
  </si>
  <si>
    <t>Stephen A. Julious</t>
  </si>
  <si>
    <t>Eric Derobert</t>
  </si>
  <si>
    <t>Lisa Hampson</t>
  </si>
  <si>
    <t>Sample sizes for multiple must-win trials</t>
  </si>
  <si>
    <t>A parameterized strategy of gatekeeping</t>
  </si>
  <si>
    <t>Group sequential tests for delayed responses</t>
  </si>
  <si>
    <t>1_Julious.pdf</t>
  </si>
  <si>
    <t>2_Derobert.pdf</t>
  </si>
  <si>
    <t>Recurrent event approaches in cardiovascular outcome trials</t>
  </si>
  <si>
    <t>Mouna Akacha &amp;  Günther Müller-Velten</t>
  </si>
  <si>
    <t>4_Hampson.pdf</t>
  </si>
  <si>
    <t>BBS Seminar: Experiences in the Development and Implementation of Flexible Designs</t>
  </si>
  <si>
    <t>Boris Choy</t>
  </si>
  <si>
    <t>Business School The University of Sydney</t>
  </si>
  <si>
    <t>Nonignorable dropout models for longitudinal binary data with random effects: An application of Monte Carlo approximation through the Gibbs output</t>
  </si>
  <si>
    <t>BBS Seminar</t>
  </si>
  <si>
    <t>Implementing Current Regulatory Guidance on the Treatment of Missing Data: An Industry Perspective</t>
  </si>
  <si>
    <t>BBS Fall Conference: Current Topics in Pharmaceutical Statistics: Dose Finding and Multiregional Trials</t>
  </si>
  <si>
    <t>Andy Grieve</t>
  </si>
  <si>
    <t> Dose Selection in Drug Development: What Can Go Wrong? Can we put it Right?</t>
  </si>
  <si>
    <t>Didier Renard</t>
  </si>
  <si>
    <t> Use of modeling &amp; simulation to support design and analysis of a new dose and regimen finding study</t>
  </si>
  <si>
    <t> On the efficiency of two-stage adaptive designs</t>
  </si>
  <si>
    <t>H.M. James Hung</t>
  </si>
  <si>
    <t> Planning and Analyzing Multi-regional Clinical Trials: A Regulatory Perspective</t>
  </si>
  <si>
    <t>Philip Hougaard</t>
  </si>
  <si>
    <t> Global drug development strategies</t>
  </si>
  <si>
    <t> Designing clinical trials in a multiregional regulatory environment</t>
  </si>
  <si>
    <t>Kevin J. Carroll</t>
  </si>
  <si>
    <t> Consistency of treatment effect across regions in a multi-regional trial: reasonable goal or unrealistic requirement?</t>
  </si>
  <si>
    <t>Jorgen Seldrup</t>
  </si>
  <si>
    <t>1_Grieve.pdf</t>
  </si>
  <si>
    <t>2_Renard.pdf</t>
  </si>
  <si>
    <t>3_Bornkamp.pdf</t>
  </si>
  <si>
    <t>Bjoern Bornkamp</t>
  </si>
  <si>
    <t>Powerful Modification of Step Down Procedures for Dose Finding</t>
  </si>
  <si>
    <t>Georg Gutjahr</t>
  </si>
  <si>
    <t>5_Hung.pdf</t>
  </si>
  <si>
    <t>6_Hougaard.pdf</t>
  </si>
  <si>
    <t>8_Carroll.pdf</t>
  </si>
  <si>
    <t>BBS Seminar Quantitative Benefit-Risk: What Matters to Whom and How? – Getting the Values and Weights</t>
  </si>
  <si>
    <t>John Ferguson</t>
  </si>
  <si>
    <t>Gordon Francis</t>
  </si>
  <si>
    <t>Lawrence Phillips</t>
  </si>
  <si>
    <t>Structured Benefit-Risk Optimization (BRO): A Framework Quantitative Decision Support Tools</t>
  </si>
  <si>
    <t>Clinical Perspective on Benefit-Risk Assessments</t>
  </si>
  <si>
    <t>Quantitative Benefit-Risk: Determining Values &amp; Assessing Weights</t>
  </si>
  <si>
    <t>Beyond the Probability of Risk: Measuring Perception</t>
  </si>
  <si>
    <t>1_Ferguson.pdf</t>
  </si>
  <si>
    <t>2_Francis.pdf</t>
  </si>
  <si>
    <t>3_Phillips.pdf</t>
  </si>
  <si>
    <t>4_Beyer.pdf</t>
  </si>
  <si>
    <t>BBS Spring Conference: Comparative Quantitative Assessments: Benefit-Risk &amp; Effectiveness</t>
  </si>
  <si>
    <t>Melvin (Skip) Olson</t>
  </si>
  <si>
    <t>John Doyle</t>
  </si>
  <si>
    <t>Deborah Ashby</t>
  </si>
  <si>
    <t>Michael Forstner</t>
  </si>
  <si>
    <t>Industry Perspective on Comparative Effectiveness Research (CER) and the impact of Health Technology Assessment (HTA) in Europe</t>
  </si>
  <si>
    <t>Some Issues with Indirect Comparisons</t>
  </si>
  <si>
    <t>Health Care Reform in Germany and Update on IQWiG Requirements</t>
  </si>
  <si>
    <t>Effect of Comparative Effectiveness Research on Drug Development Innovation: a 360° Appraisal and Summary Discussion</t>
  </si>
  <si>
    <t>Current Methodological Approaches to Benefit-Risk Decision-Making</t>
  </si>
  <si>
    <t>Structured Benefit-Risk Optimization (BRO): State-of-the-art and Role of Fully Quantitative Decision Support Tools</t>
  </si>
  <si>
    <t>Considerations for Implementing a Quantitative Benefit-Risk Assessment</t>
  </si>
  <si>
    <t>Benefit-Risk Assessment of Multiple Sclerosis Treatments: Lessons Learnt in the use of Multi-Criteria Decision Analysis</t>
  </si>
  <si>
    <t>Convergence of CER and BRA and Concluding Summary Discussion</t>
  </si>
  <si>
    <t>2_Olson.pdf</t>
  </si>
  <si>
    <t>3_Leverkus.pdf</t>
  </si>
  <si>
    <t>4_Doyle.pdf</t>
  </si>
  <si>
    <t>5_Ashby.pdf</t>
  </si>
  <si>
    <t>6_Ferguson.pdf</t>
  </si>
  <si>
    <t>7_Forstner.pdf</t>
  </si>
  <si>
    <t>8_Nixon.pdf</t>
  </si>
  <si>
    <t>9_Doyle.pdf</t>
  </si>
  <si>
    <t>BBS Spring Seminar: Multiplicity in Clinical Trials</t>
  </si>
  <si>
    <t>Huque Mohammad</t>
  </si>
  <si>
    <t>Ferber Georg</t>
  </si>
  <si>
    <t>Wolf Michael</t>
  </si>
  <si>
    <t>Maurer Willi / Glimm Ekkehard</t>
  </si>
  <si>
    <t>Some key multiplicity questions on primary and secondary endpoints of RCCTs and possible answers</t>
  </si>
  <si>
    <t>Confirmatory statistics in PK/PD studies</t>
  </si>
  <si>
    <t>Control of the false discovery rate under dependence using the bootstrap and sub sampling</t>
  </si>
  <si>
    <t>Multiple and repeated testing of primary</t>
  </si>
  <si>
    <t>gMCP: A GUI for graphical multiple test procedures</t>
  </si>
  <si>
    <t>Kornelius Rohmeyer</t>
  </si>
  <si>
    <t>1_Huque.pdf</t>
  </si>
  <si>
    <t>2_Ferber.pdf</t>
  </si>
  <si>
    <t>4_Wolf.pdf</t>
  </si>
  <si>
    <t>5_Maurer.pdf</t>
  </si>
  <si>
    <t>BBS Seminar: Statistical Challenges in Biomedical Research</t>
  </si>
  <si>
    <t>1_Kalisch.pdf</t>
  </si>
  <si>
    <t>Harald Binder</t>
  </si>
  <si>
    <t>Martin Wolkewitz</t>
  </si>
  <si>
    <t>Fitting and evaluating risk prediction models with high-dimensional molecular data</t>
  </si>
  <si>
    <t>Healthcare epidemiology hospital-acquired infections statistical modeling of outbreaks</t>
  </si>
  <si>
    <t>Kalisch Markus</t>
  </si>
  <si>
    <t> Can one extract causal information from high-dimensional observational data?</t>
  </si>
  <si>
    <t>Sauerbrei Willi</t>
  </si>
  <si>
    <t> Regression model-building with continuous variables – multivariable fractional polynomials</t>
  </si>
  <si>
    <t>BBS Fall Conference</t>
  </si>
  <si>
    <t>Helmut Schäfer</t>
  </si>
  <si>
    <t>University of Marburg</t>
  </si>
  <si>
    <t>Optimized and flexible designs for genome-wide associations studies</t>
  </si>
  <si>
    <t>Maximo Carreras</t>
  </si>
  <si>
    <t>Point Estimation in Two-Stage Adaptive Designs With Mid-Trial Treatment Selection</t>
  </si>
  <si>
    <t>The A to Z of DMC interaction in a phase II/III adaptive design with treatment selection</t>
  </si>
  <si>
    <t>Reinhard Eisebitt</t>
  </si>
  <si>
    <t>ClinResearch</t>
  </si>
  <si>
    <t>Methods to protect the blinding, including controlled emergency unblinding, in adaptive design trials with flexible randomization schemes</t>
  </si>
  <si>
    <t>University of Göttingen</t>
  </si>
  <si>
    <t>The role of DMCs in adaptive design trials: The perspective of a DMC member</t>
  </si>
  <si>
    <t>Sue-Jane Wang</t>
  </si>
  <si>
    <t>FDA</t>
  </si>
  <si>
    <t>Adaptive Design Consideration: A Regulatory Perspective on How to Maintain Validity and Integrity of Trials</t>
  </si>
  <si>
    <t>James Hung</t>
  </si>
  <si>
    <t>Emerging Challenges in Design and Analysis of Non-inferiority Trials</t>
  </si>
  <si>
    <t>IQWiG</t>
  </si>
  <si>
    <t>The importance of Non-inferiority testing in benefit assessments of medical interventions</t>
  </si>
  <si>
    <t>Heinz Schmidli</t>
  </si>
  <si>
    <t>Estimating the placebo-effect in a non-inferiority trial: a case study</t>
  </si>
  <si>
    <t>Bremen and Vienna</t>
  </si>
  <si>
    <t>Georg Gutjahr, Werner Brannath, Peter Bauer</t>
  </si>
  <si>
    <t>Unblinded SampleSize Modification for Fisher’s Exact Test</t>
  </si>
  <si>
    <t>11_Gutjahr.pdf</t>
  </si>
  <si>
    <t>6_Wang.pdf</t>
  </si>
  <si>
    <t>7_Hung.pdf</t>
  </si>
  <si>
    <t>BBS/EFSPI European Statistical Meeting on Oncology</t>
  </si>
  <si>
    <t>Understanding Progression-free Survival</t>
  </si>
  <si>
    <t>Bertil Jonsson</t>
  </si>
  <si>
    <t>Oncology Dose Finding – A Case Study</t>
  </si>
  <si>
    <t>Medical Products Agency</t>
  </si>
  <si>
    <t>IDDI and University of Hasselt</t>
  </si>
  <si>
    <t>The Time to Progression Ratio for Phase II Trials of Personalized Medicine</t>
  </si>
  <si>
    <t>Adaptive Bayesian Designs for Phase I Oncology Trials</t>
  </si>
  <si>
    <t>Bayesian Hierarchical Modelling of Clinical Response in NSCLC Subpopulations</t>
  </si>
  <si>
    <t>IRESSA: A Journey of Experience from Broad to Biomarker Populations</t>
  </si>
  <si>
    <t>Optimal Cost-Effective Go-No Go Decisions in Late-Stage Oncology Drug Development</t>
  </si>
  <si>
    <t>Stuart Bailey</t>
  </si>
  <si>
    <t>Simon Wandel</t>
  </si>
  <si>
    <t>AstraZeneca</t>
  </si>
  <si>
    <t>Claire Watkins</t>
  </si>
  <si>
    <t>Cong Chen</t>
  </si>
  <si>
    <t>Merck</t>
  </si>
  <si>
    <t>Jonas Wiedemann</t>
  </si>
  <si>
    <t>BBS Seminar Epidemiology</t>
  </si>
  <si>
    <t>Noah Jamie Robinson</t>
  </si>
  <si>
    <t>Epidemiology: the basics and in practice (at Roche)</t>
  </si>
  <si>
    <t>Jim Young</t>
  </si>
  <si>
    <t>Approximate Bayesian methods for the analysis of epidemiological data</t>
  </si>
  <si>
    <t>Basel Institute for Clinical Epidemiology and Biostatistics</t>
  </si>
  <si>
    <t>2_Young</t>
  </si>
  <si>
    <t>Benda Norbert</t>
  </si>
  <si>
    <t>Brannath Werner</t>
  </si>
  <si>
    <t>Fleischer Frank</t>
  </si>
  <si>
    <t>Friede Tim</t>
  </si>
  <si>
    <t>Glimm Ekkehard</t>
  </si>
  <si>
    <t>Guthjahr Georg</t>
  </si>
  <si>
    <t>Wang Sue-Jane</t>
  </si>
  <si>
    <t>The use of adaptive designs in dose finding studies</t>
  </si>
  <si>
    <t>Challenges in the application of adaptive phase II/III designs in oncology</t>
  </si>
  <si>
    <t>Statistical modeling in the context of progression-free survival</t>
  </si>
  <si>
    <t>Blinded sample size reestimation with count data</t>
  </si>
  <si>
    <t>Some lessons learned from designing and adaptive clinical trial with time-to-event as the primary endpoint</t>
  </si>
  <si>
    <t>Multiple Type I error control in response adaptive Phase II/III designs with treatment selection</t>
  </si>
  <si>
    <t>U.S. FDA Draft Guidance on Adaptive Design Clinical Trials – Statistical Considerations and Issues</t>
  </si>
  <si>
    <t>1_Benda.pdf</t>
  </si>
  <si>
    <t>2_Brannath.pdf</t>
  </si>
  <si>
    <t>3_Fleischer.pdf</t>
  </si>
  <si>
    <t>4_Friede.pdf</t>
  </si>
  <si>
    <t>5_Glimm.pdf</t>
  </si>
  <si>
    <t>6_Gutjahr.pdf</t>
  </si>
  <si>
    <t>7_Wang.pdf</t>
  </si>
  <si>
    <t>BBS Seminar: Enhanced Statistical Methodology</t>
  </si>
  <si>
    <t>University of Zürich</t>
  </si>
  <si>
    <t>Leonhard Held</t>
  </si>
  <si>
    <t>A Nomogram for P Values</t>
  </si>
  <si>
    <t>Estimation of two ordered monotone regression curves</t>
  </si>
  <si>
    <t>BBS Seminar: Challenges and Evaluation of Biomarkers</t>
  </si>
  <si>
    <t>Eric Holmgren</t>
  </si>
  <si>
    <t>Genentech</t>
  </si>
  <si>
    <t>Quantifying the usefulness of PD biomarkers in phase 2 screening trials of oncology drugs</t>
  </si>
  <si>
    <t>Martin Schumacher</t>
  </si>
  <si>
    <t>Class prediction with gene expression data</t>
  </si>
  <si>
    <t>BBS Seminar: Operational and Implementation Considerations in Adaptive Designs</t>
  </si>
  <si>
    <t>Eva Miller</t>
  </si>
  <si>
    <t>ICON Clinical Research</t>
  </si>
  <si>
    <t>Logistical Considerations in the Implementation of Adaptive Trial Designs</t>
  </si>
  <si>
    <t>Considerations and Experiences in Adaptive Dose Finding</t>
  </si>
  <si>
    <t>Damian Roqueiro</t>
  </si>
  <si>
    <t>Machine Learning and Computational Biology Lab ETH Zurich</t>
  </si>
  <si>
    <t>Applications of Machine Learning and Deep Learning</t>
  </si>
  <si>
    <t>Jonas Dorn</t>
  </si>
  <si>
    <t>Machine learning when the ground truth isn’t truth and privacy is a problem – case study from the Assess MS project</t>
  </si>
  <si>
    <t>Big clinical data: What should biometrician do with it?</t>
  </si>
  <si>
    <t xml:space="preserve">Stephen Ruberg </t>
  </si>
  <si>
    <t xml:space="preserve">Stef van Buuren, </t>
  </si>
  <si>
    <t xml:space="preserve">Baldur Magnusson </t>
  </si>
  <si>
    <t xml:space="preserve">Teresa Barata </t>
  </si>
  <si>
    <t>Eli Lilly</t>
  </si>
  <si>
    <t>Novartis</t>
  </si>
  <si>
    <t>The patient perspective – the estimands they want</t>
  </si>
  <si>
    <t>Individual causal effect: What is it? Why we need it? How to estimate it?</t>
  </si>
  <si>
    <t>Using principal stratification to disentangle post-randomization outcomes in a randomized controlled phase 3 study</t>
  </si>
  <si>
    <t>Estimands in early Parkinson disease</t>
  </si>
  <si>
    <t>Netherlands Organisation for Applied Scientific Research and University of Utrecht</t>
  </si>
  <si>
    <t>Google</t>
  </si>
  <si>
    <t>Biogen</t>
  </si>
  <si>
    <t>Jouni Kerman</t>
  </si>
  <si>
    <t>Fabio Pellegrini</t>
  </si>
  <si>
    <t>Making what’s advanced today routine tomorrow</t>
  </si>
  <si>
    <t>Causal Measurement using Geo Experiments in a Time-Based Regression Framework</t>
  </si>
  <si>
    <t>A Smartphone-Based Study Capturing Longitudinal Vision Test Data, Movement Scores and User-reported Outcomes</t>
  </si>
  <si>
    <t>Individualized medicine based on a treatment response continuous score</t>
  </si>
  <si>
    <t>Statistical perspectives on umbrella trials</t>
  </si>
  <si>
    <t>Comparison of clinical development plans for a confirmatory trial with subpopulation selection</t>
  </si>
  <si>
    <t>Werner Vach</t>
  </si>
  <si>
    <t>Universitätsspital Basel</t>
  </si>
  <si>
    <t>2_Rufibach.pdf</t>
  </si>
  <si>
    <t>Kay Brodersen</t>
  </si>
  <si>
    <t>Google, Zurich</t>
  </si>
  <si>
    <t>Inferring causal effects in the absence of an experiment using CausalImpact</t>
  </si>
  <si>
    <t>David Rasmussen</t>
  </si>
  <si>
    <t>ETH Zurich</t>
  </si>
  <si>
    <t>Using HIV phylogenetics to quantify how human mobility impacts antiretroviral-based prevention strategies</t>
  </si>
  <si>
    <t>Almut Mecke</t>
  </si>
  <si>
    <t>Different endpoints for meta-analyses of safety information</t>
  </si>
  <si>
    <t>Pfizer Germany</t>
  </si>
  <si>
    <t>Meta-analysis in support of the German Benefit Assessment for Reimbursement (Arzneimittelmarkt-Neuordnungsgesetz – AMNOG</t>
  </si>
  <si>
    <t>Jane Hutton</t>
  </si>
  <si>
    <t>Uni Warwick</t>
  </si>
  <si>
    <t>Missing data and how to see biased results using Chain Event Graphs</t>
  </si>
  <si>
    <t>Cancer profiling and subtype discovery with Bayesian inference for acyclic digraphs</t>
  </si>
  <si>
    <t>Markus Elze</t>
  </si>
  <si>
    <t>Propensity scores methods and covariate adjustment in practice</t>
  </si>
  <si>
    <t>Lilla Di Scala</t>
  </si>
  <si>
    <t>Actelion, Basel</t>
  </si>
  <si>
    <t>Informative censoring in a rare disease: a regulatory experience in PAH</t>
  </si>
  <si>
    <t>Dominic Magirr</t>
  </si>
  <si>
    <t>Unblinded sample-size reassessment in time-to-event clinical trials</t>
  </si>
  <si>
    <t>Tobias Bluhmki</t>
  </si>
  <si>
    <t>Universität Ulm</t>
  </si>
  <si>
    <t>Analyzing non-monotonous time-to-event outcome probabilities in randomized clinical trials</t>
  </si>
  <si>
    <t>Jennifer Rogers</t>
  </si>
  <si>
    <t>University of Oxford</t>
  </si>
  <si>
    <t>The analysis of recurrent events: A summary of methodology</t>
  </si>
  <si>
    <t>Recurrent event data endpoints in chronic heart failure studies: What is the estimand of interest?</t>
  </si>
  <si>
    <t>Ekkehard Glimm</t>
  </si>
  <si>
    <t>Sample size and interim analysis considerations for recurrent event data analyses</t>
  </si>
  <si>
    <t>IMI GetReal Initiative Update</t>
  </si>
  <si>
    <t>Chrissie Fletcher &amp; Matthias Egger</t>
  </si>
  <si>
    <t>Amgen &amp; University of Bern</t>
  </si>
  <si>
    <t>Expert panel discussion on trends and burning issues, eg. Structured benefit risk and real world evidence; dual EMA-HTA consultation</t>
  </si>
  <si>
    <t>Panelists</t>
  </si>
  <si>
    <t>Pascale Brasseur</t>
  </si>
  <si>
    <t>Medtronic</t>
  </si>
  <si>
    <t>Overview of HTA for medical devices and diagnostics</t>
  </si>
  <si>
    <t>NICE’s approach to the development of guidance for medical devices and diagnostics</t>
  </si>
  <si>
    <t>Sheryl Warttig</t>
  </si>
  <si>
    <t>NICE</t>
  </si>
  <si>
    <t>EUnetHTA core model applied to Colorectal Cancer screening</t>
  </si>
  <si>
    <t>Karsten Berndt</t>
  </si>
  <si>
    <t>Roche Diagnostics</t>
  </si>
  <si>
    <t>Valéry Risson</t>
  </si>
  <si>
    <t>Uses of Social Media for Outcomes Research – results of a real-world pilot</t>
  </si>
  <si>
    <t>Adjusting overall survival for treatment switch/crossover</t>
  </si>
  <si>
    <t>Using the EUnetHTA HTA core model as a framework for planning, generating and presenting evidence</t>
  </si>
  <si>
    <t>Pierre Ducorneau</t>
  </si>
  <si>
    <t>Predicting long term survival using nonparametric Bayesian methods: the melanoma case</t>
  </si>
  <si>
    <t>Yovanna Castro</t>
  </si>
  <si>
    <t>Nathalie Barbier</t>
  </si>
  <si>
    <t>Reimbursement challenges with new emerging cancer therapies</t>
  </si>
  <si>
    <t>The value of Oncology therapies and emerging access hurdles in Canada and the United States</t>
  </si>
  <si>
    <t>Won Lee</t>
  </si>
  <si>
    <t>Machine Learning in clinical drug development</t>
  </si>
  <si>
    <t>https://streamingmedia.roche.com/media/t/1_qasjwd4f</t>
  </si>
  <si>
    <t>1_Lange_Uhlmann.pdf</t>
  </si>
  <si>
    <t>Markus Lange, Lorenz Uhlmann</t>
  </si>
  <si>
    <t>chat_questions.xlsx</t>
  </si>
  <si>
    <t>Questions from the chat, with answers</t>
  </si>
  <si>
    <t>exercises.R</t>
  </si>
  <si>
    <t>dat.csv</t>
  </si>
  <si>
    <t>R exercises</t>
  </si>
  <si>
    <t>Dataset used for exercises</t>
  </si>
  <si>
    <t>29.03.2022</t>
  </si>
  <si>
    <t>Graphical approaches to multiple test problems</t>
  </si>
  <si>
    <t>https://streamingmedia.roche.com/media/BBS%20Seminar%20Graphical%20approaches%20to%20multiple%20test%20problems%2029%20Mar%202022%20-%20Part%201/1_6zf98l0r</t>
  </si>
  <si>
    <t>Marc Vandemeulebroecke</t>
  </si>
  <si>
    <t>Novartis &amp; Gilead</t>
  </si>
  <si>
    <t>2_Glimm_Bretz_Xi.pdf</t>
  </si>
  <si>
    <t>recording2</t>
  </si>
  <si>
    <t>https://streamingmedia.roche.com/media/BBS+Seminar+Graphical+approaches+to+multiple+test+problems+29+Mar+2022+-+Part+2/1_2i02bql4</t>
  </si>
  <si>
    <t>Ekkehard Glimm, Frank Bretz &amp; Dong Xi</t>
  </si>
  <si>
    <t>BBS Spring Seminar Transforming drug development and assembly</t>
  </si>
  <si>
    <t>Uli Burger</t>
  </si>
  <si>
    <t>Pierre Verweij, Guy Braunstein, Colin Terry, Pavi Rallapalli, Dominik Heinzmann, Lisa Hampson, Marc Vandemeulebroecke, Heinz Schmidli, Sebastian Weber, Laurent Essioux</t>
  </si>
  <si>
    <t>Idorsia Pharmaceuticals, Deloitte, Novo Nordisk, Novartis, Roche</t>
  </si>
  <si>
    <t>https://streamingmedia.roche.com/media/BBS%20Spring%20Seminar%20Transforming%20drug%20development%20and%20Assembly%2024%20May%202022%20-%20Recording%20part%201/1_fqboxp8j</t>
  </si>
  <si>
    <t>https://streamingmedia.roche.com/media/BBS%20Spring%20Seminar%20Transforming%20drug%20development%20and%20Assembly%2024%20May%202022%20-%20Recording%20part%202/1_oazfwu9q</t>
  </si>
  <si>
    <t>BBS Spring Seminar Transforming drug development and Assembly</t>
  </si>
  <si>
    <t>2_BBS_Spring_Seminar_and_Assembly_24MAY2022_Masterslides.pdf</t>
  </si>
  <si>
    <t>BBS / EFSPI Seminar Registry studies and HTA</t>
  </si>
  <si>
    <t>Xcenda, Switzerland</t>
  </si>
  <si>
    <t>Eric Faulkner and Omar Dabbous</t>
  </si>
  <si>
    <t>Novartis Gene Therapies, USA</t>
  </si>
  <si>
    <t>Entela Xoxi</t>
  </si>
  <si>
    <t>Università Cattolica del Sacro Cuore, Italy</t>
  </si>
  <si>
    <t>AIFA registries: past and current &amp; upcoming challenges</t>
  </si>
  <si>
    <t>Jinma Ren and Friedhelm Leverkus</t>
  </si>
  <si>
    <t>Pfizer, USA and Pfizer, Germany</t>
  </si>
  <si>
    <t>Issues in the design and analysis of registry-based studies for regulatory and HTA purposes</t>
  </si>
  <si>
    <t>Mei Yang</t>
  </si>
  <si>
    <t>Happy Life Technology, China &amp; USA</t>
  </si>
  <si>
    <t>Registries in China: Guidelines, trends and new technologies</t>
  </si>
  <si>
    <t>Rossella Di Bidino</t>
  </si>
  <si>
    <t>Fondazione Policlinico Universitario Agostino Gemelli, Italy</t>
  </si>
  <si>
    <t>Hospital Perspective on using Registry Data for HTA</t>
  </si>
  <si>
    <t>Kirk Geale</t>
  </si>
  <si>
    <t>Quantify Research, Sweden</t>
  </si>
  <si>
    <t>Case studies using Registry Data for HTA in Scandinavia</t>
  </si>
  <si>
    <t>Kat Belendiuk</t>
  </si>
  <si>
    <t>Genentech, USA</t>
  </si>
  <si>
    <t>FlywheelMS Case Study - A complete web-based digital registry of 5,000 patients with Multiple Sclerosis in the USA</t>
  </si>
  <si>
    <t>3_Xoxi.pdf</t>
  </si>
  <si>
    <t>5_Yang.pdf</t>
  </si>
  <si>
    <t>7_Geale.pdf</t>
  </si>
  <si>
    <t>4_Ren_Leverkus.pdf</t>
  </si>
  <si>
    <t>6_DiBidino.pdf</t>
  </si>
  <si>
    <t>https://streamingmedia.roche.com/media/t/1_yynoypov</t>
  </si>
  <si>
    <t>An open dialog on the issues faced and lessons learned with respect to Novartis Gene Therapies’ Spinal Muscular Atrophy (SMA) registries</t>
  </si>
  <si>
    <t>On market approval and market access: Breaking the linear thinking or how to innovate in a crowded space?</t>
  </si>
  <si>
    <t>1_Bretz.pdf</t>
  </si>
  <si>
    <t>University of Edinburgh and self-employed</t>
  </si>
  <si>
    <t>Comments to introduce panel discussion</t>
  </si>
  <si>
    <t>5_Facey.pdf</t>
  </si>
  <si>
    <t>Roche</t>
  </si>
  <si>
    <t>No comparators no problem?</t>
  </si>
  <si>
    <t>4_Bennett.pdf</t>
  </si>
  <si>
    <t>NOMA &amp; EMA</t>
  </si>
  <si>
    <t>Start thinking HTA early</t>
  </si>
  <si>
    <t>Challenges in developing next generation CAR-T</t>
  </si>
  <si>
    <t>3_Yateman.pdf</t>
  </si>
  <si>
    <t>https://streamingmedia.roche.com/media/t/1_moqs7fc2</t>
  </si>
  <si>
    <t>Anja Schiel (starts at 00:04:00)</t>
  </si>
  <si>
    <t>Nigel Yateman (01:01:15)</t>
  </si>
  <si>
    <t>Iain Bennett (01:22:30)</t>
  </si>
  <si>
    <t>Karen Facey (01:42:50)</t>
  </si>
  <si>
    <t>Speakers + Gorana Capkun, Lilla di Scala, Andrew Thomson (01:58:15)</t>
  </si>
  <si>
    <t>Panel discussion</t>
  </si>
  <si>
    <t>Designing in Treatment Switching (case study review and recommendations)</t>
  </si>
  <si>
    <t>Bayesian approach for Combination Phase I Trials in Oncology</t>
  </si>
  <si>
    <t>Registries in Rare Diseases / Orphan Drugs along with 2 Case Studies</t>
  </si>
  <si>
    <t xml:space="preserve"> An experience with indirect treatment comparisons using MAIC methods in a rare disease</t>
  </si>
  <si>
    <t>talks/20191101/20191101_summary.html</t>
  </si>
  <si>
    <t>https://streamingmedia.roche.com/media/t/1_paczcr56</t>
  </si>
  <si>
    <t>https://streamingmedia.roche.com/media/t/1_toj7v6bn</t>
  </si>
  <si>
    <t>David Wright</t>
  </si>
  <si>
    <t>Reflections on the estimands addendum with a focus on the treatment policy strategy</t>
  </si>
  <si>
    <t>1_David Wright Estimands 8th December 2022.pdf</t>
  </si>
  <si>
    <t>Thomas Drury</t>
  </si>
  <si>
    <t>GSK</t>
  </si>
  <si>
    <t>Implementation of the treatment policy strategy for continuous longitudinal endpoints: A Comparison of Estimation Methods</t>
  </si>
  <si>
    <t>2_EIWG-Estimation-Tom-Drury-FINAL.pdf</t>
  </si>
  <si>
    <t>Marcel Wolbers &amp; Alessandro Noci</t>
  </si>
  <si>
    <t>Treatment policy estimation based on standard and reference-based conditional mean imputation</t>
  </si>
  <si>
    <t>3_RefbasedConditionalMean_NociWolbers.pdf</t>
  </si>
  <si>
    <t>Other statistical software for continuous longitudinal endpoints: mmrm R package</t>
  </si>
  <si>
    <t>https://rconsortium.github.io/asa-biop-swe-wg/slides/bbs-efspi-mmrm-dec2022.html</t>
  </si>
  <si>
    <t>James Roger</t>
  </si>
  <si>
    <t>LSHTM</t>
  </si>
  <si>
    <t>Other statistical software for continuous longitudinal endpoints: SAS macros for multiple imputation</t>
  </si>
  <si>
    <t>5_JamesRoger 20121118.pdf</t>
  </si>
  <si>
    <t>Suzie Cro</t>
  </si>
  <si>
    <t>Imperial College London</t>
  </si>
  <si>
    <t>Discussion on treatment policy strategy</t>
  </si>
  <si>
    <t>6_Suzie Cro - discussant slides.pdf</t>
  </si>
  <si>
    <t>Next Generation Networking Seminar</t>
  </si>
  <si>
    <t>Welcome and Introduction to Event Series</t>
  </si>
  <si>
    <t>Getting started</t>
  </si>
  <si>
    <t>Youyou Hu &amp; Antonella Mazzei</t>
  </si>
  <si>
    <t>Roche &amp; BMS</t>
  </si>
  <si>
    <t>Communicating statistics to a lay audience</t>
  </si>
  <si>
    <t>Julie Jones</t>
  </si>
  <si>
    <t>Evolution of Biometrics within and across Pharma: Current trends and future insights</t>
  </si>
  <si>
    <t>Frank Bretz &amp; Uli Burger</t>
  </si>
  <si>
    <t>Novartis &amp; Roche</t>
  </si>
  <si>
    <t>Not All Roads May Lead to Rome – Panelists’ Pitch on their career paths in industry</t>
  </si>
  <si>
    <t>Gabriele Bieska, Joerg Maurer, Valda Murphy, Simon Wandel, Marcel Wolbers</t>
  </si>
  <si>
    <t>Roche, Roche, Novartis, Novartis, Roche</t>
  </si>
  <si>
    <t>https://streamingmedia.roche.com/media/t/1_u19b7s0j</t>
  </si>
  <si>
    <t xml:space="preserve">Joint EFSPI &amp; BBS virtual event - Addressing intercurrent events: Treatment policy and hypothetical strategies (day 1) </t>
  </si>
  <si>
    <t xml:space="preserve">Joint EFSPI &amp; BBS virtual event - Addressing intercurrent events: Treatment policy and hypothetical strategies (day 2) </t>
  </si>
  <si>
    <t>Frank Bretz &amp; Mouna Akacha</t>
  </si>
  <si>
    <t>The hypothetical strategy: why, how, when?</t>
  </si>
  <si>
    <t>Otsuka</t>
  </si>
  <si>
    <t>Jinglin Zhong</t>
  </si>
  <si>
    <t>A case study of hypothetical strategies in acute pain</t>
  </si>
  <si>
    <t>Jonathan Bartlett</t>
  </si>
  <si>
    <t>Hypothetical estimands -- a unification of causal inference and missing data methods</t>
  </si>
  <si>
    <t>g-estimation for the hypothetical strategy with an application to Alzheimer’s Disease and COVID-19-related intercurrent events</t>
  </si>
  <si>
    <t>Florian Lasch</t>
  </si>
  <si>
    <t>Ian White</t>
  </si>
  <si>
    <t>University College London</t>
  </si>
  <si>
    <t>Estimation with multiple intercurrent events and mixed estimand strategies</t>
  </si>
  <si>
    <t>Discussion</t>
  </si>
  <si>
    <t>Lei Nie</t>
  </si>
  <si>
    <t>1_BretzAchaka.pdf</t>
  </si>
  <si>
    <t>2_Zhong.pdf</t>
  </si>
  <si>
    <t>3_Bartlett.pdf</t>
  </si>
  <si>
    <t>4_Lasch.pdf</t>
  </si>
  <si>
    <t>5_White.pdf</t>
  </si>
  <si>
    <t>6_vanLancker.pdf</t>
  </si>
  <si>
    <t>https://streamingmedia.roche.com/media/t/1_y45grhzp</t>
  </si>
  <si>
    <t>https://streamingmedia.roche.com/media/t/1_qnzqeq5b</t>
  </si>
  <si>
    <t>Joint BES/BBS webinar: Real-World Data Quality</t>
  </si>
  <si>
    <t>https://streamingmedia.roche.com/media/t/1_xg0j74n0</t>
  </si>
  <si>
    <t>IQVIA</t>
  </si>
  <si>
    <t>What is data quality, and how data types differ in terms of data quality</t>
  </si>
  <si>
    <t>RWD for regulatory decisions</t>
  </si>
  <si>
    <t>EHDEN: Data Quality Dashboard</t>
  </si>
  <si>
    <t>EU Data quality framework</t>
  </si>
  <si>
    <t>COPD case study - The Use of the OMOP Common Data Model in Health Technology Assessment</t>
  </si>
  <si>
    <t>Roche/Genentech</t>
  </si>
  <si>
    <t>Data quality in Flatiron</t>
  </si>
  <si>
    <t>Transcelerate - How to bridge from framework to fitness for purpose demonstration?</t>
  </si>
  <si>
    <t>Massoud Toussi (starts at 5:38)</t>
  </si>
  <si>
    <t>Nicole Mahoney (25:35)</t>
  </si>
  <si>
    <t>Clair Blacketer (39:48)</t>
  </si>
  <si>
    <t>Daniel Morales (59:40)</t>
  </si>
  <si>
    <t>Dalia Dawoud (1:18:43)</t>
  </si>
  <si>
    <t>Spencer James (1:41:34)</t>
  </si>
  <si>
    <t>Gracy Crane (NB this talk in the panel discussion section was not recorded, but the slides are attached)</t>
  </si>
  <si>
    <t>1_Toussi.pdf</t>
  </si>
  <si>
    <t>2_Mahoney.pdf</t>
  </si>
  <si>
    <t>3_Blacketer.pdf</t>
  </si>
  <si>
    <t>5_Dawoud.pdf</t>
  </si>
  <si>
    <t>7_Crane.pdf</t>
  </si>
  <si>
    <t>4_Morales.pdf</t>
  </si>
  <si>
    <t>6_James.pdf</t>
  </si>
  <si>
    <t>Quantification of risk: ask the right questions or time to apply the estimand framework to safety!</t>
  </si>
  <si>
    <t>Stop the abuse: A plea for a more principled approach to the analysis of time-to-event endpoints with varying follow-up times and/or competing risks, with a focus on analysis of AEs.</t>
  </si>
  <si>
    <t>Welcome, scene setting and “Let us put the scientific objective first!”</t>
  </si>
  <si>
    <t>1_Izem.pdf</t>
  </si>
  <si>
    <t>Quantification of risk: ask the right questions or time to apply the estimand framework to safety</t>
  </si>
  <si>
    <t>3_Gomatam.pdf</t>
  </si>
  <si>
    <t>Kaspar Rufibach (starts at 32:00 in 1st part)</t>
  </si>
  <si>
    <t>Rima Izem (starts at 02:00 in 1st part)</t>
  </si>
  <si>
    <t>Andrew Thomson (discussant, beginning of 2nd part)</t>
  </si>
  <si>
    <t>Comments (no slides)</t>
  </si>
  <si>
    <t>https://streamingmedia.roche.com/media/t/1_xzv5rejn</t>
  </si>
  <si>
    <t>https://streamingmedia.roche.com/media/t/1_gt2u676m</t>
  </si>
  <si>
    <t>Shanti Gomatam (discussant, starts at 15:00 in 2nd part)</t>
  </si>
  <si>
    <t>Adaptive Designs and Multiple Testing Procedures 3-day Workshop</t>
  </si>
  <si>
    <t>Next Generation event on soft-skills, professional development, and networking</t>
  </si>
  <si>
    <t>Justine Rochon</t>
  </si>
  <si>
    <t>Boehringer-Ingelheim</t>
  </si>
  <si>
    <t>Why is curiosity important? A journey into the benefits of being a lifelong learner</t>
  </si>
  <si>
    <t>How to collaborate within X-industry working groups and some hard truths about work-life balance</t>
  </si>
  <si>
    <t>Lightning talk 1</t>
  </si>
  <si>
    <t>Marisa Bacchi</t>
  </si>
  <si>
    <t>Lightning talk 2</t>
  </si>
  <si>
    <t>Lightning talk 3</t>
  </si>
  <si>
    <t>Lightning talk 4</t>
  </si>
  <si>
    <t>Muriel Buri</t>
  </si>
  <si>
    <t>Elsa Lozachmeur</t>
  </si>
  <si>
    <t>Idorsia</t>
  </si>
  <si>
    <t>4_Bacchi.pdf</t>
  </si>
  <si>
    <t>5_Buri.pdf</t>
  </si>
  <si>
    <t>6_Lozachmeur.pdf</t>
  </si>
  <si>
    <t>Pre-approval and Post-approval Challenges in the Clinical Development and Reimbursement of CAR-T Cell Therapies</t>
  </si>
  <si>
    <t>CEN2023 Conference: From Data to Knowledge. Advancing Life Sciences.</t>
  </si>
  <si>
    <t>https://cen2023.github.io/home/</t>
  </si>
  <si>
    <t>Manisha Patel</t>
  </si>
  <si>
    <t>1_Patel.pdf</t>
  </si>
  <si>
    <t>2_Ananthakrishnan.pdf</t>
  </si>
  <si>
    <t>Revathi Ananthakrishnan</t>
  </si>
  <si>
    <t>BMS</t>
  </si>
  <si>
    <t>CAR T-cell Therapies: Challenges, Lessons Learned, and Implications for Future Studies</t>
  </si>
  <si>
    <t>Benjamin Hofner</t>
  </si>
  <si>
    <t>Paul-Ehrlich-Institut</t>
  </si>
  <si>
    <t>Statistical considerations for CAR-T cell development – Updates from an European regulator</t>
  </si>
  <si>
    <t>3_Hofner.pdf</t>
  </si>
  <si>
    <t>Sachin Vadgama &amp; Francis Nissen</t>
  </si>
  <si>
    <t>Kite, a Gilead company</t>
  </si>
  <si>
    <t>Lessons learnt from long-term outcomes of CAR T therapies, HTA and RWE implications</t>
  </si>
  <si>
    <t>RWE generation for CAR-Ts – Payers’ evolving approaches</t>
  </si>
  <si>
    <t>RWE4Decisions &amp; Univ. of Edinburgh</t>
  </si>
  <si>
    <t>Anja van Biezen</t>
  </si>
  <si>
    <t>EBMT</t>
  </si>
  <si>
    <t>6_vanBiezen.pdf</t>
  </si>
  <si>
    <t>4_Vadgama_Nissen.pdf</t>
  </si>
  <si>
    <t>CAR-T regulatory and clinical development considerations: perspectives for today and the future</t>
  </si>
  <si>
    <t>RWE data: EBMT Registry – Challenges in Data Collection &amp; Use of Data (in PASS)</t>
  </si>
  <si>
    <t>Federated learning and new data modalities</t>
  </si>
  <si>
    <t>Akexandros Giannakis</t>
  </si>
  <si>
    <t>Anastasiia Koloskova</t>
  </si>
  <si>
    <t>Paul Delmar &amp; Damien Eggenspieler</t>
  </si>
  <si>
    <t>Craig Wang</t>
  </si>
  <si>
    <t>Stanislas Hubeaux</t>
  </si>
  <si>
    <t>Shyla Jagannatha</t>
  </si>
  <si>
    <t>BBS Assembly</t>
  </si>
  <si>
    <t>Accenture</t>
  </si>
  <si>
    <t>EPFL</t>
  </si>
  <si>
    <t>Roche &amp; Synav</t>
  </si>
  <si>
    <t>Federated Learning – what is the art of the possible, the opportunities it creates, the key challenges and the prominent technical solutions</t>
  </si>
  <si>
    <t>Methodological aspects of federated learning, challenges and opportunities</t>
  </si>
  <si>
    <t>Collaborative acceleration for insights at scale via a federated data and biosample network in Neuroscience</t>
  </si>
  <si>
    <t>Overview on digital endpoints: Opportunities and impact on drug development</t>
  </si>
  <si>
    <t>Radiogenomics investigation on the prognostic factors in metastatic breast cancer using data from Phase III ribociclib clinical trials</t>
  </si>
  <si>
    <t>Opportunities and Challenges that arise with digital endpoints: A case example</t>
  </si>
  <si>
    <t>Case example from Janssen on digital endpoints</t>
  </si>
  <si>
    <t>Update on BBS</t>
  </si>
  <si>
    <t>1_Giannakis.pdf</t>
  </si>
  <si>
    <t>2_Koloskova.pdf</t>
  </si>
  <si>
    <t>3_Heinzmann.pdf</t>
  </si>
  <si>
    <t>5_Wang.pdf</t>
  </si>
  <si>
    <t>6_Hubeaux.pdf</t>
  </si>
  <si>
    <t>7_Jagannatha.pdf</t>
  </si>
  <si>
    <t>4_Delmar_Eggenspieler.pdf</t>
  </si>
  <si>
    <t>8_BBS_Assembly.pdf</t>
  </si>
  <si>
    <t>https://youtu.be/APWP3oqJY9s</t>
  </si>
  <si>
    <t>https://youtu.be/x0EzxKidpyE</t>
  </si>
  <si>
    <t>Janssen, BBS</t>
  </si>
  <si>
    <t>Welcome, scene setting and “Let’s extend the conversation on estimands to Early Development”</t>
  </si>
  <si>
    <t>1_DiScala.pdf</t>
  </si>
  <si>
    <t>Why jeopardize clarity, consistency, and coherency in early phase? A plea for introducing estimand focused discussions to early development acknowledging similarities and differences as compared to late development</t>
  </si>
  <si>
    <t>2_Englert.pdf</t>
  </si>
  <si>
    <t>Case Study 1: Using estimands in PoC studies for infectious diseases: what did we consider?</t>
  </si>
  <si>
    <t>AZ</t>
  </si>
  <si>
    <t>Case Study 2: Examples of opportunities to use the estimand framework in early Phase studies</t>
  </si>
  <si>
    <t>4_Wright.pdf</t>
  </si>
  <si>
    <t>Francois Mercier</t>
  </si>
  <si>
    <t>Case Study 3: Dealing with treatment discontinuation in dose escalation Phase 1 oncology clinical trials</t>
  </si>
  <si>
    <t>5_Mercier.pdf</t>
  </si>
  <si>
    <t>Rob Hemmings</t>
  </si>
  <si>
    <t>Consilium Scientific (former EMA)</t>
  </si>
  <si>
    <t>Estimands in Early Development – an external perspective</t>
  </si>
  <si>
    <t>6_Hemmings.pdf</t>
  </si>
  <si>
    <t>Thomas Gwise</t>
  </si>
  <si>
    <t>former FDA</t>
  </si>
  <si>
    <t>Optimizing Estimands with Optimus</t>
  </si>
  <si>
    <t>7_Gwise.pdf</t>
  </si>
  <si>
    <t>Estimands in Early Development (ED) Across Therapeutic Areas</t>
  </si>
  <si>
    <t>Reproducibility in biomedical research</t>
  </si>
  <si>
    <t>Valentin Amrhein</t>
  </si>
  <si>
    <t>Reproducibilty, Replicability or Communication Crisis?</t>
  </si>
  <si>
    <t>1_Amrhein.pdf</t>
  </si>
  <si>
    <t>Romain-Daniel Gosselin</t>
  </si>
  <si>
    <t>Lausanne University Hospital</t>
  </si>
  <si>
    <t>Transparency in statistical reporting in preclinical science</t>
  </si>
  <si>
    <t>2_Gosselin.pdf</t>
  </si>
  <si>
    <t>Benjamin Victor Ineichen</t>
  </si>
  <si>
    <t>University of Zurich</t>
  </si>
  <si>
    <t>Systematic review of animal studies as avenue to reproducible and translatable preclinical research</t>
  </si>
  <si>
    <t>3_Ineichen.pdf</t>
  </si>
  <si>
    <t>Anton Belousov</t>
  </si>
  <si>
    <t>Reproducibility of Evidence Generation in Biomarker Development</t>
  </si>
  <si>
    <t>4_Belousov.pdf</t>
  </si>
  <si>
    <t>Good Data Science Practice: Moving Toward a Code of Practice for Drug Development</t>
  </si>
  <si>
    <t>5_Baillie.pdf</t>
  </si>
  <si>
    <t>Felix Thalén</t>
  </si>
  <si>
    <t>Cardio-CARE</t>
  </si>
  <si>
    <t>Real-world Reproducibility: Lessons learned from implementing a GWAS pipeline</t>
  </si>
  <si>
    <t>6_Thalen.pdf</t>
  </si>
  <si>
    <t>Daniel Stekhoven</t>
  </si>
  <si>
    <t>Computational Reproducibility - a tale about tools and attitudes</t>
  </si>
  <si>
    <t>7_Stekhoven.pdf</t>
  </si>
  <si>
    <t>12.04.2024</t>
  </si>
  <si>
    <t>https://www.youtube.com/playlist?list=PLJUlcZ2RDOyEOAmeB1PZxoohTPay2BWVJ</t>
  </si>
  <si>
    <t>17.04.2024</t>
  </si>
  <si>
    <t>Next Generation event on visualization</t>
  </si>
  <si>
    <t>Essentials of Medical Data Sharing and Privacy – Maximize the use of data</t>
  </si>
  <si>
    <t>Sabine Oesterle</t>
  </si>
  <si>
    <t>Jenny Devenport / Rebecca Sudlow</t>
  </si>
  <si>
    <t>Magalie Wasem</t>
  </si>
  <si>
    <t>Franziska Baechler</t>
  </si>
  <si>
    <t>Bram Stieltjes</t>
  </si>
  <si>
    <t>Dieter Haering</t>
  </si>
  <si>
    <t>Swiss Institute of Bioinformatics</t>
  </si>
  <si>
    <t>Pharma Law Solutions GmBH</t>
  </si>
  <si>
    <t>University Basel</t>
  </si>
  <si>
    <t>University Hospital Basel (USB)</t>
  </si>
  <si>
    <t>Swiss Personalized Health Network- From clinical routine data to FAIR data for research</t>
  </si>
  <si>
    <t>Trends in health data sharing in industry</t>
  </si>
  <si>
    <t>Fostering global data sharing in the industry: legal challenges and practical tips</t>
  </si>
  <si>
    <t>Legal aspects of data sharing - academic perspective</t>
  </si>
  <si>
    <t>Data sharing at University Hospital Basel</t>
  </si>
  <si>
    <t>Industry-academia collaboration - Novartis &amp; Big Data Institute partnership to advance AI</t>
  </si>
  <si>
    <t>Daniel Prieto-Alhambra</t>
  </si>
  <si>
    <t>EU EHDEN</t>
  </si>
  <si>
    <t>1_Oesterle.pdf</t>
  </si>
  <si>
    <t>3_Wasem.pdf</t>
  </si>
  <si>
    <t>4_Baechler.pdf</t>
  </si>
  <si>
    <t>5_Stieltjes.pdf</t>
  </si>
  <si>
    <t>7_Prieto-Alhambra.pdf</t>
  </si>
  <si>
    <t>6_Haering.pdf</t>
  </si>
  <si>
    <t>Peter Krusche</t>
  </si>
  <si>
    <t>Sarper Guerel</t>
  </si>
  <si>
    <t xml:space="preserve">Juan Ramon Troncoso Pastoriza </t>
  </si>
  <si>
    <t>Marta Batlle</t>
  </si>
  <si>
    <t>AWS</t>
  </si>
  <si>
    <t>Tune Insight</t>
  </si>
  <si>
    <t>Leveraging Cloud Capabilities for Clinical Data Sharing</t>
  </si>
  <si>
    <t>Navigating through the jungle of data sharing tools – Start with the research objective</t>
  </si>
  <si>
    <t>Federated Encrypted Computing: Share insights, protect the data</t>
  </si>
  <si>
    <t>Synthetic data as a novel anonymization technique: generation and evaluation approaches</t>
  </si>
  <si>
    <t>https://pkrusche.github.io/datasharing-talk/</t>
  </si>
  <si>
    <t>8_Guerel.pdf</t>
  </si>
  <si>
    <t>9_Troncoso.pdf</t>
  </si>
  <si>
    <t>10_Batlle.pdf</t>
  </si>
  <si>
    <t>2_Devenport.pdf</t>
  </si>
  <si>
    <t>Controlling the chances of false discoveries in exploratory analysis of clinical trials</t>
  </si>
  <si>
    <t>Dominic Magirr and Frank Bretz</t>
  </si>
  <si>
    <t>Novartis, BBS board member and Novartis</t>
  </si>
  <si>
    <t>Welcome remarks and setting the scene</t>
  </si>
  <si>
    <t>1_Magirr.pdf</t>
  </si>
  <si>
    <t>Kostas Sechidis</t>
  </si>
  <si>
    <t>Using knockoffs for type-I error controlled prognostic and predictive variable selection</t>
  </si>
  <si>
    <t>2_Sechidis.pdf</t>
  </si>
  <si>
    <t>Denis Engemann</t>
  </si>
  <si>
    <t>Statistical Interpretation of High-Dimensional Prediction Models using Conditional Permutation Importance</t>
  </si>
  <si>
    <t>3_Engemann.pdf</t>
  </si>
  <si>
    <t>Asher Spector</t>
  </si>
  <si>
    <t>Stanford University</t>
  </si>
  <si>
    <t>Controlled Discovery and Localization of Signals via Bayesian Linear Programming</t>
  </si>
  <si>
    <t>4_Spector.pdf</t>
  </si>
  <si>
    <t>Ilya Lipkovich</t>
  </si>
  <si>
    <t>Elli Lilly</t>
  </si>
  <si>
    <t>Overview of modern approaches for identifying and evaluating heterogeneous treatment effects from clinical trials</t>
  </si>
  <si>
    <t>5_Lipkovich.pdf</t>
  </si>
  <si>
    <t>Manuel M. Müller</t>
  </si>
  <si>
    <t>University of Cambridge</t>
  </si>
  <si>
    <t>Subgroup selection with strong type-I error control under monotonicity constraints</t>
  </si>
  <si>
    <t>6_Muller.pdf</t>
  </si>
  <si>
    <t>Aaditya Ramdas</t>
  </si>
  <si>
    <t>Carnegie Mellon University</t>
  </si>
  <si>
    <t>Interactive identification of individuals with positive treatment effect while controlling false discoveries</t>
  </si>
  <si>
    <t>7_Ramdas.pdf</t>
  </si>
  <si>
    <t>https://youtu.be/3CmCablEfiY</t>
  </si>
  <si>
    <t>https://youtu.be/33mFxzteHY8</t>
  </si>
  <si>
    <t>Next Generation event on Thriving Careers: Navigating Bias, Reinventing Yourself, and Essential Skills for Employability</t>
  </si>
  <si>
    <t>AI in Clinical Research and Drug Development and BBS General Assembly</t>
  </si>
  <si>
    <t>Ercan Sükür</t>
  </si>
  <si>
    <t>Cindy Tong &amp; Nikos Takatzoglou</t>
  </si>
  <si>
    <t>Johnson &amp; Johnson</t>
  </si>
  <si>
    <t>Generative AI: Transforming automation in biostatistics</t>
  </si>
  <si>
    <t>Assessing Generative AI's capability in systematic literature reviews, a case study</t>
  </si>
  <si>
    <t>Seye Abogunrin</t>
  </si>
  <si>
    <t>Using AI agents to optimize the EU HTA process: An industry perspective</t>
  </si>
  <si>
    <t>Sajanth Subramaniam</t>
  </si>
  <si>
    <t>A deep learning approach to private data sharing of medical images using conditional generative adversarial networks</t>
  </si>
  <si>
    <t>University of Freiburg</t>
  </si>
  <si>
    <t>Leveraging generative AI approaches for small data settings in clinical research</t>
  </si>
  <si>
    <t>Fabian Kreimendahl</t>
  </si>
  <si>
    <t>Unlocking the Code: Harnessing Machine Learning to Predict Treatment Resistance in Lung Cancer Patients</t>
  </si>
  <si>
    <t>Tao Xu</t>
  </si>
  <si>
    <t>A deep learning model for automated total metabolic tumor volume quantification in patients with FDG-avid lymphomas</t>
  </si>
  <si>
    <t>University Hospital Basel</t>
  </si>
  <si>
    <t>Benefits, challenges and development of clinical AI-products in Neuroradiology</t>
  </si>
  <si>
    <t>Nicolas Perez</t>
  </si>
  <si>
    <t>Swissmedic 4.0</t>
  </si>
  <si>
    <t>“Regulator-in-the-loop”: How to integrate new ML based technologies in the regulatory landscape</t>
  </si>
  <si>
    <t>1_Ercan_BBS_Presentation.pdf</t>
  </si>
  <si>
    <t>2_CindyNikos_BBS_presentation.pdf</t>
  </si>
  <si>
    <t>3_Seye_Using AI Agents to Optimize the EU HTA Process.pdf</t>
  </si>
  <si>
    <t>4_Sjanth_pGAN BBS final.pdf</t>
  </si>
  <si>
    <t>5_Binder_SmallData Generative AI Basel.pdf</t>
  </si>
  <si>
    <t>6_Kreimendahl_final.pdf</t>
  </si>
  <si>
    <t>7_TaoXu_aTMTV Performance Assessment_final_noBackup.pdf</t>
  </si>
  <si>
    <t>8_Blackham_Mutke_BBS_seminar.pdf</t>
  </si>
  <si>
    <t>9_Nicolas_Regulator in the Loop - Swissmedic_V1.pdf</t>
  </si>
  <si>
    <t>Kristine Blackham &amp; Matthias Mutke</t>
  </si>
  <si>
    <t>https://youtu.be/Sja4Gi-f0sw</t>
  </si>
  <si>
    <t>https://youtu.be/SuoJRBGt5vc</t>
  </si>
  <si>
    <t>Patient-Focused Drug Development: The Role of Patient Preference Studies</t>
  </si>
  <si>
    <t>https://youtu.be/4I2mjsvc5xY</t>
  </si>
  <si>
    <t>https://youtu.be/7NWUNaw_Bk8</t>
  </si>
  <si>
    <t>All (master slidedeck)</t>
  </si>
  <si>
    <t>1_Patient_preference.pdf</t>
  </si>
  <si>
    <t>BBS Next Generation Mentoring Program: What is mentoring, how is it different from coaching, and is it for me?</t>
  </si>
  <si>
    <t>BBS webinar on From Statistical Innovations to Common Practice, How to innovate with impact?</t>
  </si>
  <si>
    <t>Merck KGaA, Darmstadt</t>
  </si>
  <si>
    <t>UCB</t>
  </si>
  <si>
    <t>Nicky Best</t>
  </si>
  <si>
    <t>Monika Jelizarow</t>
  </si>
  <si>
    <t>Implementation of statistical innovation in a pharmaceutical company - it can be done!</t>
  </si>
  <si>
    <t>https://numbersman77.github.io/kasparrufibach/files/talks/20250319_Rufibach_innovation_handout.pdf</t>
  </si>
  <si>
    <t>Implementing Statistical Innovations in the Pharmaceutical Industry: Moving the needle on use of Bayesian methods</t>
  </si>
  <si>
    <t>Implementing Bayesian augmented control designs into business practice</t>
  </si>
  <si>
    <t>event</t>
  </si>
  <si>
    <t>https://youtu.be/OC-zPB-SJrc</t>
  </si>
  <si>
    <t>2_Best.pdf</t>
  </si>
  <si>
    <t>BBS Face-to-Face Meeting on Covariate Adjustment in Clinical Trials</t>
  </si>
  <si>
    <t>Consultant Statistician</t>
  </si>
  <si>
    <t>Tim Morris</t>
  </si>
  <si>
    <t>UCL</t>
  </si>
  <si>
    <t>Why do covariate adjustments blow up?</t>
  </si>
  <si>
    <t>To adjust or not to adjust: insights from the simplest non-trivial system of discrete variables</t>
  </si>
  <si>
    <t>Assumption-lean covariate adjustment for time-to-event endpoints</t>
  </si>
  <si>
    <t>1_Senn.pdf</t>
  </si>
  <si>
    <t>2_Kuipers.pdf</t>
  </si>
  <si>
    <t>3_Magirr.pdf</t>
  </si>
  <si>
    <t>4_Morris.pdf</t>
  </si>
  <si>
    <t>3_Jelizarow.pdf</t>
  </si>
  <si>
    <t>Colloquium in Honor of Hans Ulrich Burger on the Occasion of His Retirement from Roche</t>
  </si>
  <si>
    <t>Werner Brannath</t>
  </si>
  <si>
    <t>University of Bremen</t>
  </si>
  <si>
    <t>Markus Abt</t>
  </si>
  <si>
    <t>Armin Koch</t>
  </si>
  <si>
    <t>Medizinische Hochschule Hannover</t>
  </si>
  <si>
    <t>Significance, relevance, and a proportionate amount of evidence for decision making in drug licensing</t>
  </si>
  <si>
    <t>On the use of surrogate endpoints in adaptive survival trials</t>
  </si>
  <si>
    <t>Decision Making in Early Clinical Drug Development</t>
  </si>
  <si>
    <t>From local chapters to global guidelines: A journey of collaborative progress</t>
  </si>
  <si>
    <t>1_Brannath.pdf</t>
  </si>
  <si>
    <t>2_Abt.pdf</t>
  </si>
  <si>
    <t>3_Koch.pdf</t>
  </si>
  <si>
    <t>4_Bretz.pdf</t>
  </si>
  <si>
    <t>Causal mediation analysis in clinical research</t>
  </si>
  <si>
    <t>Mats Stensrud</t>
  </si>
  <si>
    <t>Hege Michiels</t>
  </si>
  <si>
    <t>Alex Ocampo</t>
  </si>
  <si>
    <t>Georgios Kazantzidis</t>
  </si>
  <si>
    <t>Argenx</t>
  </si>
  <si>
    <t>BIPS and U Bremen</t>
  </si>
  <si>
    <t>Foundations and Conceptual Rationale for Causal Mediation Analysis</t>
  </si>
  <si>
    <t xml:space="preserve">	Exploring causal mediation methods for analysing clinical trials</t>
  </si>
  <si>
    <t>A novel estimand to handle rescue medication in RCTs: the link with mediation analysis</t>
  </si>
  <si>
    <t>Simplifying Causal Mediation Analysis for Time-to-Event Outcomes using Pseudo-Values</t>
  </si>
  <si>
    <t>Mediation analysis with Bayesian non-linear joint models. Treatment pathways between tumor growth kinetics and overall survival</t>
  </si>
  <si>
    <t>In Search of Research Questions for Causal Mediation Analysis</t>
  </si>
  <si>
    <t>20251030_2_Lasch.pdf</t>
  </si>
  <si>
    <t>20251030_3_Michiels.pdf</t>
  </si>
  <si>
    <t>20251030_4_Ocampo.pdf</t>
  </si>
  <si>
    <t>20251030_5_Kazantzidis.pdf</t>
  </si>
  <si>
    <t>20251030_6_Didelez.pdf</t>
  </si>
  <si>
    <t>20251030_1_Stensrud.pdf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</si>
</sst>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&quot;.&quot;mm&quot;.&quot;yyyy"/>
  </numFmts>
  <fonts count="10" x14ac:knownFonts="1">
    <font>
      <sz val="11"/>
      <color rgb="FF000000"/>
      <name val="Calibri"/>
    </font>
    <font>
      <sz val="11"/>
      <color rgb="FF000000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3.5"/>
      <color rgb="FF373A3C"/>
      <name val="Roboto"/>
    </font>
    <font>
      <sz val="11"/>
      <color rgb="FF333333"/>
      <name val="Arial"/>
      <family val="2"/>
    </font>
    <font>
      <sz val="11"/>
      <color rgb="FF000000"/>
      <name val="Arial"/>
      <family val="2"/>
      <charset val="1"/>
    </font>
    <font>
      <sz val="9"/>
      <color rgb="FF343A40"/>
      <name val="Source Sans Pro"/>
      <family val="2"/>
    </font>
    <font>
      <sz val="8"/>
      <color rgb="FF0F4761"/>
      <name val="Aptos Display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DEE2E6"/>
      </top>
      <bottom style="thin">
        <color rgb="FFDEE2E6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/>
    </xf>
    <xf numFmtId="0" fontId="1" fillId="0" borderId="0" xfId="0" applyFont="1" applyAlignment="1">
      <alignment horizontal="center" vertical="top" wrapText="1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 wrapText="1"/>
    </xf>
    <xf numFmtId="164" fontId="2" fillId="0" borderId="0" xfId="0" applyNumberFormat="1" applyFont="1" applyAlignment="1">
      <alignment horizontal="center" vertical="top"/>
    </xf>
    <xf numFmtId="0" fontId="4" fillId="0" borderId="0" xfId="0" applyFont="1" applyAlignment="1">
      <alignment vertical="top"/>
    </xf>
    <xf numFmtId="0" fontId="4" fillId="0" borderId="0" xfId="0" applyFont="1" applyAlignment="1">
      <alignment horizontal="left" vertical="top"/>
    </xf>
    <xf numFmtId="164" fontId="1" fillId="0" borderId="0" xfId="0" applyNumberFormat="1" applyFont="1" applyAlignment="1">
      <alignment horizontal="left" vertical="top"/>
    </xf>
    <xf numFmtId="164" fontId="2" fillId="0" borderId="0" xfId="0" applyNumberFormat="1" applyFont="1" applyAlignment="1">
      <alignment horizontal="left" vertical="top"/>
    </xf>
    <xf numFmtId="0" fontId="3" fillId="0" borderId="0" xfId="1" applyAlignment="1">
      <alignment horizontal="left" vertical="top" wrapText="1"/>
    </xf>
    <xf numFmtId="164" fontId="1" fillId="0" borderId="0" xfId="0" applyNumberFormat="1" applyFont="1" applyAlignment="1">
      <alignment horizontal="center" vertical="top" wrapText="1"/>
    </xf>
    <xf numFmtId="0" fontId="2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14" fontId="1" fillId="0" borderId="0" xfId="0" applyNumberFormat="1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3" fillId="0" borderId="0" xfId="1" applyAlignment="1">
      <alignment horizontal="left" vertical="top"/>
    </xf>
    <xf numFmtId="0" fontId="4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49" fontId="1" fillId="0" borderId="0" xfId="0" applyNumberFormat="1" applyFont="1" applyAlignment="1">
      <alignment horizontal="left" vertical="top" wrapText="1"/>
    </xf>
    <xf numFmtId="0" fontId="5" fillId="0" borderId="0" xfId="0" applyFont="1"/>
    <xf numFmtId="0" fontId="5" fillId="2" borderId="1" xfId="0" applyFont="1" applyFill="1" applyBorder="1" applyAlignment="1">
      <alignment vertical="center" wrapText="1"/>
    </xf>
    <xf numFmtId="0" fontId="3" fillId="0" borderId="0" xfId="1" applyAlignment="1">
      <alignment vertical="top"/>
    </xf>
    <xf numFmtId="0" fontId="3" fillId="0" borderId="0" xfId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left" vertical="top"/>
    </xf>
    <xf numFmtId="0" fontId="7" fillId="0" borderId="0" xfId="0" applyFont="1" applyAlignment="1">
      <alignment horizontal="left" vertical="top" wrapText="1"/>
    </xf>
    <xf numFmtId="0" fontId="7" fillId="0" borderId="0" xfId="0" applyFont="1" applyAlignment="1">
      <alignment horizontal="center" vertical="top" wrapText="1"/>
    </xf>
    <xf numFmtId="0" fontId="8" fillId="0" borderId="0" xfId="0" applyFont="1"/>
    <xf numFmtId="0" fontId="9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0</xdr:colOff>
      <xdr:row>155</xdr:row>
      <xdr:rowOff>0</xdr:rowOff>
    </xdr:from>
    <xdr:ext cx="9525" cy="9525"/>
    <xdr:pic>
      <xdr:nvPicPr>
        <xdr:cNvPr id="2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155</xdr:row>
      <xdr:rowOff>0</xdr:rowOff>
    </xdr:from>
    <xdr:ext cx="9525" cy="9525"/>
    <xdr:pic>
      <xdr:nvPicPr>
        <xdr:cNvPr id="3" name="image1.gif" descr="https://ssl.gstatic.com/ui/v1/icons/mail/images/cleardot.gif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839200" y="3810000"/>
          <a:ext cx="9525" cy="95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8640" cy="8640"/>
    <xdr:pic>
      <xdr:nvPicPr>
        <xdr:cNvPr id="4" name="image1.gif" descr="https://ssl.gstatic.com/ui/v1/icons/mail/images/cleardot.gif">
          <a:extLst>
            <a:ext uri="{FF2B5EF4-FFF2-40B4-BE49-F238E27FC236}">
              <a16:creationId xmlns:a16="http://schemas.microsoft.com/office/drawing/2014/main" id="{D61CFCAC-3CBD-404E-AB6C-5D20BE4AEA79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8</xdr:row>
      <xdr:rowOff>0</xdr:rowOff>
    </xdr:from>
    <xdr:ext cx="8640" cy="8640"/>
    <xdr:pic>
      <xdr:nvPicPr>
        <xdr:cNvPr id="5" name="image1.gif" descr="https://ssl.gstatic.com/ui/v1/icons/mail/images/cleardot.gif">
          <a:extLst>
            <a:ext uri="{FF2B5EF4-FFF2-40B4-BE49-F238E27FC236}">
              <a16:creationId xmlns:a16="http://schemas.microsoft.com/office/drawing/2014/main" id="{A26B0B78-E866-422E-8A2B-36748842B3DF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9</xdr:row>
      <xdr:rowOff>0</xdr:rowOff>
    </xdr:from>
    <xdr:ext cx="8640" cy="8640"/>
    <xdr:pic>
      <xdr:nvPicPr>
        <xdr:cNvPr id="6" name="image1.gif" descr="https://ssl.gstatic.com/ui/v1/icons/mail/images/cleardot.gif">
          <a:extLst>
            <a:ext uri="{FF2B5EF4-FFF2-40B4-BE49-F238E27FC236}">
              <a16:creationId xmlns:a16="http://schemas.microsoft.com/office/drawing/2014/main" id="{919C7A94-0BF9-43EE-A1AF-731ECB53D038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0</xdr:col>
      <xdr:colOff>0</xdr:colOff>
      <xdr:row>10</xdr:row>
      <xdr:rowOff>0</xdr:rowOff>
    </xdr:from>
    <xdr:ext cx="8640" cy="8640"/>
    <xdr:pic>
      <xdr:nvPicPr>
        <xdr:cNvPr id="7" name="image1.gif" descr="https://ssl.gstatic.com/ui/v1/icons/mail/images/cleardot.gif">
          <a:extLst>
            <a:ext uri="{FF2B5EF4-FFF2-40B4-BE49-F238E27FC236}">
              <a16:creationId xmlns:a16="http://schemas.microsoft.com/office/drawing/2014/main" id="{AA2EE439-7867-4890-B770-BBB271AA8713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184150"/>
          <a:ext cx="8640" cy="8640"/>
        </a:xfrm>
        <a:prstGeom prst="rect">
          <a:avLst/>
        </a:prstGeom>
        <a:ln w="0">
          <a:noFill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treamingmedia.roche.com/media/t/1_xg0j74n0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https://streamingmedia.roche.com/media/Joint+EFSPI+++BBS+SeminarA+%22The+application+of+estimands+from+a+Neuroscience+perspective%22-20201103+1202-1_202243567/0_4g72gvb4" TargetMode="External"/><Relationship Id="rId7" Type="http://schemas.openxmlformats.org/officeDocument/2006/relationships/hyperlink" Target="http://bbs.ceb-institute.org/?p=1514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https://streamingmedia.roche.com/media/BBS%20Seminar_Impact%20of%20the%20COVID-19%20pandemic%20on%20clinical%20trials_16JUN2021_Recording/1_29yj4985" TargetMode="External"/><Relationship Id="rId1" Type="http://schemas.openxmlformats.org/officeDocument/2006/relationships/hyperlink" Target="https://streamingmedia.roche.com/media/t/1_794su8nj" TargetMode="External"/><Relationship Id="rId6" Type="http://schemas.openxmlformats.org/officeDocument/2006/relationships/hyperlink" Target="https://streamingmedia.roche.com/media/Joint+EFSPI+++BBS+SeminarA+Estimands+addendum+is+finalA+Anything+new+for+oncologyF/1_3wavzkyv" TargetMode="External"/><Relationship Id="rId11" Type="http://schemas.openxmlformats.org/officeDocument/2006/relationships/hyperlink" Target="https://numbersman77.github.io/kasparrufibach/files/talks/20250319_Rufibach_innovation_handout.pdf" TargetMode="External"/><Relationship Id="rId5" Type="http://schemas.openxmlformats.org/officeDocument/2006/relationships/hyperlink" Target="http://bbs.ceb-institute.org/?p=1459" TargetMode="External"/><Relationship Id="rId10" Type="http://schemas.openxmlformats.org/officeDocument/2006/relationships/hyperlink" Target="https://youtu.be/33mFxzteHY8" TargetMode="External"/><Relationship Id="rId4" Type="http://schemas.openxmlformats.org/officeDocument/2006/relationships/hyperlink" Target="https://streamingmedia.roche.com/media/BBS_RCTs+meeting+causal+inferenceA+principal+stratum+strategy+and+beyond-20200907+1200-1_188928352/0_gqww13rq" TargetMode="External"/><Relationship Id="rId9" Type="http://schemas.openxmlformats.org/officeDocument/2006/relationships/hyperlink" Target="https://pkrusche.github.io/datasharing-talk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14"/>
  <sheetViews>
    <sheetView tabSelected="1" topLeftCell="K1" zoomScaleNormal="100" workbookViewId="0">
      <pane ySplit="1" topLeftCell="A2" activePane="bottomLeft" state="frozen"/>
      <selection pane="bottomLeft" activeCell="K3" sqref="K3"/>
    </sheetView>
  </sheetViews>
  <sheetFormatPr defaultColWidth="14.44140625" defaultRowHeight="14.4" x14ac:dyDescent="0.3"/>
  <cols>
    <col min="1" max="1" width="16.33203125" style="8" customWidth="1"/>
    <col min="2" max="2" width="108.88671875" style="7" customWidth="1"/>
    <col min="3" max="6" width="30.44140625" style="8" customWidth="1"/>
    <col min="7" max="7" width="5.44140625" style="7" bestFit="1" customWidth="1"/>
    <col min="8" max="8" width="155.88671875" style="8" bestFit="1" customWidth="1"/>
    <col min="9" max="9" width="83.44140625" style="8" bestFit="1" customWidth="1"/>
    <col min="10" max="10" width="185.109375" style="14" bestFit="1" customWidth="1"/>
    <col min="11" max="11" width="90.6640625" style="7" bestFit="1" customWidth="1"/>
    <col min="12" max="12" width="73.6640625" style="7" bestFit="1" customWidth="1"/>
    <col min="13" max="16384" width="14.44140625" style="7"/>
  </cols>
  <sheetData>
    <row r="1" spans="1:12" ht="27.6" x14ac:dyDescent="0.3">
      <c r="A1" s="5" t="s">
        <v>1</v>
      </c>
      <c r="B1" s="3" t="s">
        <v>26</v>
      </c>
      <c r="C1" s="4" t="s">
        <v>7</v>
      </c>
      <c r="D1" s="4" t="s">
        <v>987</v>
      </c>
      <c r="E1" s="4" t="s">
        <v>317</v>
      </c>
      <c r="F1" s="4" t="s">
        <v>1386</v>
      </c>
      <c r="G1" s="1" t="s">
        <v>3</v>
      </c>
      <c r="H1" s="4" t="s">
        <v>4</v>
      </c>
      <c r="I1" s="4" t="s">
        <v>5</v>
      </c>
      <c r="J1" s="13" t="s">
        <v>2</v>
      </c>
      <c r="K1" s="2" t="s">
        <v>6</v>
      </c>
      <c r="L1" s="7" t="s">
        <v>316</v>
      </c>
    </row>
    <row r="2" spans="1:12" x14ac:dyDescent="0.25">
      <c r="A2" s="5" t="str">
        <f t="shared" ref="A2:A7" si="0">"30.10.2025"</f>
        <v>30.10.2025</v>
      </c>
      <c r="B2" s="3" t="s">
        <v>1415</v>
      </c>
      <c r="C2" s="4"/>
      <c r="D2" s="4"/>
      <c r="E2" s="4"/>
      <c r="F2" s="4"/>
      <c r="G2" s="1">
        <v>1</v>
      </c>
      <c r="H2" s="33" t="s">
        <v>1416</v>
      </c>
      <c r="I2" s="4" t="s">
        <v>1199</v>
      </c>
      <c r="J2" s="13" t="s">
        <v>1422</v>
      </c>
      <c r="K2" s="2" t="s">
        <v>1433</v>
      </c>
    </row>
    <row r="3" spans="1:12" x14ac:dyDescent="0.25">
      <c r="A3" s="5" t="str">
        <f t="shared" si="0"/>
        <v>30.10.2025</v>
      </c>
      <c r="B3" s="3" t="s">
        <v>1415</v>
      </c>
      <c r="C3" s="4"/>
      <c r="D3" s="4"/>
      <c r="E3" s="4"/>
      <c r="F3" s="4"/>
      <c r="G3" s="1">
        <v>2</v>
      </c>
      <c r="H3" s="33" t="s">
        <v>1097</v>
      </c>
      <c r="I3" s="4" t="s">
        <v>261</v>
      </c>
      <c r="J3" s="13" t="s">
        <v>1423</v>
      </c>
      <c r="K3" s="2" t="s">
        <v>1428</v>
      </c>
    </row>
    <row r="4" spans="1:12" x14ac:dyDescent="0.25">
      <c r="A4" s="5" t="str">
        <f t="shared" si="0"/>
        <v>30.10.2025</v>
      </c>
      <c r="B4" s="3" t="s">
        <v>1415</v>
      </c>
      <c r="C4" s="4"/>
      <c r="D4" s="4"/>
      <c r="E4" s="4"/>
      <c r="F4" s="4"/>
      <c r="G4" s="1">
        <v>3</v>
      </c>
      <c r="H4" s="33" t="s">
        <v>1417</v>
      </c>
      <c r="I4" s="4" t="s">
        <v>1420</v>
      </c>
      <c r="J4" s="13" t="s">
        <v>1424</v>
      </c>
      <c r="K4" s="2" t="s">
        <v>1429</v>
      </c>
    </row>
    <row r="5" spans="1:12" x14ac:dyDescent="0.3">
      <c r="A5" s="5" t="str">
        <f t="shared" si="0"/>
        <v>30.10.2025</v>
      </c>
      <c r="B5" s="3" t="s">
        <v>1415</v>
      </c>
      <c r="C5" s="4"/>
      <c r="D5" s="4"/>
      <c r="E5" s="4"/>
      <c r="F5" s="4"/>
      <c r="G5" s="1">
        <v>4</v>
      </c>
      <c r="H5" s="4" t="s">
        <v>1418</v>
      </c>
      <c r="I5" s="4" t="s">
        <v>1032</v>
      </c>
      <c r="J5" s="13" t="s">
        <v>1425</v>
      </c>
      <c r="K5" s="2" t="s">
        <v>1430</v>
      </c>
    </row>
    <row r="6" spans="1:12" x14ac:dyDescent="0.3">
      <c r="A6" s="5" t="str">
        <f t="shared" si="0"/>
        <v>30.10.2025</v>
      </c>
      <c r="B6" s="3" t="s">
        <v>1415</v>
      </c>
      <c r="C6" s="4"/>
      <c r="D6" s="4"/>
      <c r="E6" s="4"/>
      <c r="F6" s="4"/>
      <c r="G6" s="1">
        <v>5</v>
      </c>
      <c r="H6" s="4" t="s">
        <v>1419</v>
      </c>
      <c r="I6" s="4" t="s">
        <v>1032</v>
      </c>
      <c r="J6" s="13" t="s">
        <v>1426</v>
      </c>
      <c r="K6" s="2" t="s">
        <v>1431</v>
      </c>
    </row>
    <row r="7" spans="1:12" x14ac:dyDescent="0.25">
      <c r="A7" s="5" t="str">
        <f t="shared" si="0"/>
        <v>30.10.2025</v>
      </c>
      <c r="B7" s="32" t="s">
        <v>1415</v>
      </c>
      <c r="C7" s="4"/>
      <c r="D7" s="4"/>
      <c r="E7" s="4"/>
      <c r="F7" s="4"/>
      <c r="G7" s="1">
        <v>6</v>
      </c>
      <c r="H7" s="4" t="s">
        <v>178</v>
      </c>
      <c r="I7" s="4" t="s">
        <v>1421</v>
      </c>
      <c r="J7" s="13" t="s">
        <v>1427</v>
      </c>
      <c r="K7" s="2" t="s">
        <v>1432</v>
      </c>
    </row>
    <row r="8" spans="1:12" x14ac:dyDescent="0.3">
      <c r="A8" s="30" t="str">
        <f>"16.10.2025"</f>
        <v>16.10.2025</v>
      </c>
      <c r="B8" s="31" t="s">
        <v>1401</v>
      </c>
      <c r="C8" s="4"/>
      <c r="D8" s="4"/>
      <c r="E8" s="4"/>
      <c r="F8" s="4"/>
      <c r="G8" s="1">
        <v>1</v>
      </c>
      <c r="H8" s="4" t="s">
        <v>1402</v>
      </c>
      <c r="I8" s="4" t="s">
        <v>1403</v>
      </c>
      <c r="J8" s="13" t="s">
        <v>1408</v>
      </c>
      <c r="K8" s="2" t="s">
        <v>1411</v>
      </c>
    </row>
    <row r="9" spans="1:12" x14ac:dyDescent="0.3">
      <c r="A9" s="30" t="str">
        <f>"16.10.2025"</f>
        <v>16.10.2025</v>
      </c>
      <c r="B9" s="31" t="s">
        <v>1401</v>
      </c>
      <c r="C9" s="4"/>
      <c r="D9" s="4"/>
      <c r="E9" s="4"/>
      <c r="F9" s="4"/>
      <c r="G9" s="1">
        <v>2</v>
      </c>
      <c r="H9" s="4" t="s">
        <v>1404</v>
      </c>
      <c r="I9" s="4" t="s">
        <v>1032</v>
      </c>
      <c r="J9" s="13" t="s">
        <v>1409</v>
      </c>
      <c r="K9" s="2" t="s">
        <v>1412</v>
      </c>
    </row>
    <row r="10" spans="1:12" x14ac:dyDescent="0.3">
      <c r="A10" s="30" t="str">
        <f>"16.10.2025"</f>
        <v>16.10.2025</v>
      </c>
      <c r="B10" s="31" t="s">
        <v>1401</v>
      </c>
      <c r="C10" s="4"/>
      <c r="D10" s="4"/>
      <c r="E10" s="4"/>
      <c r="F10" s="4"/>
      <c r="G10" s="1">
        <v>3</v>
      </c>
      <c r="H10" s="4" t="s">
        <v>1405</v>
      </c>
      <c r="I10" s="4" t="s">
        <v>1406</v>
      </c>
      <c r="J10" s="13" t="s">
        <v>1407</v>
      </c>
      <c r="K10" s="2" t="s">
        <v>1413</v>
      </c>
    </row>
    <row r="11" spans="1:12" x14ac:dyDescent="0.3">
      <c r="A11" s="30" t="str">
        <f>"16.10.2025"</f>
        <v>16.10.2025</v>
      </c>
      <c r="B11" s="31" t="s">
        <v>1401</v>
      </c>
      <c r="C11" s="4"/>
      <c r="D11" s="4"/>
      <c r="E11" s="4"/>
      <c r="F11" s="4"/>
      <c r="G11" s="1">
        <v>4</v>
      </c>
      <c r="H11" s="4" t="s">
        <v>482</v>
      </c>
      <c r="I11" s="4" t="s">
        <v>897</v>
      </c>
      <c r="J11" s="13" t="s">
        <v>1410</v>
      </c>
      <c r="K11" s="2" t="s">
        <v>1414</v>
      </c>
    </row>
    <row r="12" spans="1:12" x14ac:dyDescent="0.3">
      <c r="A12" s="5" t="str">
        <f>"25.03.2025"</f>
        <v>25.03.2025</v>
      </c>
      <c r="B12" s="28" t="s">
        <v>1389</v>
      </c>
      <c r="C12" s="4"/>
      <c r="D12" s="4"/>
      <c r="E12" s="4"/>
      <c r="F12" s="4"/>
      <c r="G12" s="1">
        <v>1</v>
      </c>
      <c r="H12" s="29" t="s">
        <v>336</v>
      </c>
      <c r="I12" s="4" t="s">
        <v>1390</v>
      </c>
      <c r="J12" s="20" t="s">
        <v>1393</v>
      </c>
      <c r="K12" s="2" t="s">
        <v>1396</v>
      </c>
    </row>
    <row r="13" spans="1:12" x14ac:dyDescent="0.3">
      <c r="A13" s="5" t="str">
        <f>"25.03.2025"</f>
        <v>25.03.2025</v>
      </c>
      <c r="B13" s="28" t="s">
        <v>1389</v>
      </c>
      <c r="C13" s="4"/>
      <c r="D13" s="4"/>
      <c r="E13" s="4"/>
      <c r="F13" s="4"/>
      <c r="G13" s="1">
        <v>2</v>
      </c>
      <c r="H13" s="4" t="s">
        <v>357</v>
      </c>
      <c r="I13" s="4" t="s">
        <v>920</v>
      </c>
      <c r="J13" s="20" t="s">
        <v>1394</v>
      </c>
      <c r="K13" s="2" t="s">
        <v>1397</v>
      </c>
    </row>
    <row r="14" spans="1:12" x14ac:dyDescent="0.3">
      <c r="A14" s="5" t="str">
        <f>"25.03.2025"</f>
        <v>25.03.2025</v>
      </c>
      <c r="B14" s="28" t="s">
        <v>1389</v>
      </c>
      <c r="C14" s="4"/>
      <c r="D14" s="4"/>
      <c r="E14" s="4"/>
      <c r="F14" s="4"/>
      <c r="G14" s="1">
        <v>3</v>
      </c>
      <c r="H14" s="4" t="s">
        <v>935</v>
      </c>
      <c r="I14" s="4" t="s">
        <v>897</v>
      </c>
      <c r="J14" t="s">
        <v>1395</v>
      </c>
      <c r="K14" s="2" t="s">
        <v>1398</v>
      </c>
    </row>
    <row r="15" spans="1:12" x14ac:dyDescent="0.3">
      <c r="A15" s="5" t="str">
        <f>"25.03.2025"</f>
        <v>25.03.2025</v>
      </c>
      <c r="B15" s="28" t="s">
        <v>1389</v>
      </c>
      <c r="C15" s="4"/>
      <c r="D15" s="4"/>
      <c r="E15" s="4"/>
      <c r="F15" s="4"/>
      <c r="G15" s="1">
        <v>4</v>
      </c>
      <c r="H15" s="4" t="s">
        <v>1391</v>
      </c>
      <c r="I15" s="4" t="s">
        <v>1392</v>
      </c>
      <c r="J15" t="s">
        <v>1101</v>
      </c>
      <c r="K15" s="2" t="s">
        <v>1399</v>
      </c>
    </row>
    <row r="16" spans="1:12" x14ac:dyDescent="0.3">
      <c r="A16" s="5" t="str">
        <f>"19.03.2025"</f>
        <v>19.03.2025</v>
      </c>
      <c r="B16" s="3" t="s">
        <v>1377</v>
      </c>
      <c r="C16" s="4" t="s">
        <v>1387</v>
      </c>
      <c r="D16" s="4"/>
      <c r="E16" s="4"/>
      <c r="F16" s="4"/>
      <c r="G16" s="1">
        <v>1</v>
      </c>
      <c r="H16" s="4" t="s">
        <v>177</v>
      </c>
      <c r="I16" s="4" t="s">
        <v>1378</v>
      </c>
      <c r="J16" s="13" t="s">
        <v>1382</v>
      </c>
      <c r="L16" s="26" t="s">
        <v>1383</v>
      </c>
    </row>
    <row r="17" spans="1:11" x14ac:dyDescent="0.3">
      <c r="A17" s="5" t="str">
        <f t="shared" ref="A17:A18" si="1">"19.03.2025"</f>
        <v>19.03.2025</v>
      </c>
      <c r="B17" s="3" t="s">
        <v>1377</v>
      </c>
      <c r="C17" s="4"/>
      <c r="D17" s="4"/>
      <c r="E17" s="4"/>
      <c r="F17" s="4"/>
      <c r="G17" s="1">
        <v>2</v>
      </c>
      <c r="H17" s="4" t="s">
        <v>1380</v>
      </c>
      <c r="I17" s="4" t="s">
        <v>1057</v>
      </c>
      <c r="J17" s="13" t="s">
        <v>1384</v>
      </c>
      <c r="K17" s="2" t="s">
        <v>1388</v>
      </c>
    </row>
    <row r="18" spans="1:11" x14ac:dyDescent="0.3">
      <c r="A18" s="5" t="str">
        <f t="shared" si="1"/>
        <v>19.03.2025</v>
      </c>
      <c r="B18" s="3" t="s">
        <v>1377</v>
      </c>
      <c r="C18" s="4"/>
      <c r="D18" s="4"/>
      <c r="E18" s="4"/>
      <c r="F18" s="4"/>
      <c r="G18" s="1">
        <v>3</v>
      </c>
      <c r="H18" s="4" t="s">
        <v>1381</v>
      </c>
      <c r="I18" s="4" t="s">
        <v>1379</v>
      </c>
      <c r="J18" s="13" t="s">
        <v>1385</v>
      </c>
      <c r="K18" s="2" t="s">
        <v>1400</v>
      </c>
    </row>
    <row r="19" spans="1:11" x14ac:dyDescent="0.3">
      <c r="A19" s="5" t="str">
        <f>"20.02.2025"</f>
        <v>20.02.2025</v>
      </c>
      <c r="B19" s="3" t="s">
        <v>1376</v>
      </c>
      <c r="C19" s="4"/>
      <c r="D19" s="4"/>
      <c r="E19" s="4"/>
      <c r="F19" s="4"/>
      <c r="G19" s="1"/>
      <c r="H19" s="4"/>
      <c r="I19" s="4"/>
      <c r="J19" s="13"/>
      <c r="K19" s="2"/>
    </row>
    <row r="20" spans="1:11" x14ac:dyDescent="0.3">
      <c r="A20" s="5" t="str">
        <f>"22.10.2024"</f>
        <v>22.10.2024</v>
      </c>
      <c r="B20" s="3" t="s">
        <v>1371</v>
      </c>
      <c r="C20" s="7" t="s">
        <v>1373</v>
      </c>
      <c r="D20" s="4" t="s">
        <v>1372</v>
      </c>
      <c r="E20" s="4"/>
      <c r="F20" s="4"/>
      <c r="G20" s="1">
        <v>1</v>
      </c>
      <c r="H20" s="4" t="s">
        <v>1374</v>
      </c>
      <c r="I20" s="4"/>
      <c r="J20" s="13" t="s">
        <v>1371</v>
      </c>
      <c r="K20" s="2" t="s">
        <v>1375</v>
      </c>
    </row>
    <row r="21" spans="1:11" x14ac:dyDescent="0.3">
      <c r="A21" s="5" t="str">
        <f t="shared" ref="A21:A29" si="2">"25.09.2024"</f>
        <v>25.09.2024</v>
      </c>
      <c r="B21" s="3" t="s">
        <v>1338</v>
      </c>
      <c r="C21" s="4" t="s">
        <v>1369</v>
      </c>
      <c r="D21" s="4" t="s">
        <v>1370</v>
      </c>
      <c r="E21" s="4"/>
      <c r="F21" s="4"/>
      <c r="G21" s="1">
        <v>1</v>
      </c>
      <c r="H21" t="s">
        <v>1339</v>
      </c>
      <c r="I21" s="4" t="s">
        <v>1032</v>
      </c>
      <c r="J21" t="s">
        <v>1342</v>
      </c>
      <c r="K21" s="2" t="s">
        <v>1359</v>
      </c>
    </row>
    <row r="22" spans="1:11" x14ac:dyDescent="0.3">
      <c r="A22" s="5" t="str">
        <f t="shared" si="2"/>
        <v>25.09.2024</v>
      </c>
      <c r="B22" s="3" t="s">
        <v>1338</v>
      </c>
      <c r="C22" s="4"/>
      <c r="D22" s="4"/>
      <c r="E22" s="4"/>
      <c r="F22" s="4"/>
      <c r="G22" s="1">
        <v>2</v>
      </c>
      <c r="H22" t="s">
        <v>1340</v>
      </c>
      <c r="I22" t="s">
        <v>1341</v>
      </c>
      <c r="J22" t="s">
        <v>1343</v>
      </c>
      <c r="K22" s="2" t="s">
        <v>1360</v>
      </c>
    </row>
    <row r="23" spans="1:11" x14ac:dyDescent="0.3">
      <c r="A23" s="5" t="str">
        <f t="shared" si="2"/>
        <v>25.09.2024</v>
      </c>
      <c r="B23" s="3" t="s">
        <v>1338</v>
      </c>
      <c r="C23" s="4"/>
      <c r="D23" s="4"/>
      <c r="E23" s="4"/>
      <c r="F23" s="4"/>
      <c r="G23" s="1">
        <v>3</v>
      </c>
      <c r="H23" t="s">
        <v>1344</v>
      </c>
      <c r="I23" t="s">
        <v>1032</v>
      </c>
      <c r="J23" t="s">
        <v>1345</v>
      </c>
      <c r="K23" s="2" t="s">
        <v>1361</v>
      </c>
    </row>
    <row r="24" spans="1:11" x14ac:dyDescent="0.3">
      <c r="A24" s="5" t="str">
        <f t="shared" si="2"/>
        <v>25.09.2024</v>
      </c>
      <c r="B24" s="3" t="s">
        <v>1338</v>
      </c>
      <c r="C24" s="4"/>
      <c r="D24" s="4"/>
      <c r="E24" s="4"/>
      <c r="F24" s="4"/>
      <c r="G24" s="1">
        <v>4</v>
      </c>
      <c r="H24" t="s">
        <v>1346</v>
      </c>
      <c r="I24" t="s">
        <v>897</v>
      </c>
      <c r="J24" t="s">
        <v>1347</v>
      </c>
      <c r="K24" s="2" t="s">
        <v>1362</v>
      </c>
    </row>
    <row r="25" spans="1:11" x14ac:dyDescent="0.3">
      <c r="A25" s="5" t="str">
        <f t="shared" si="2"/>
        <v>25.09.2024</v>
      </c>
      <c r="B25" s="3" t="s">
        <v>1338</v>
      </c>
      <c r="C25" s="4"/>
      <c r="D25" s="4"/>
      <c r="E25" s="4"/>
      <c r="F25" s="4"/>
      <c r="G25" s="1">
        <v>5</v>
      </c>
      <c r="H25" t="s">
        <v>789</v>
      </c>
      <c r="I25" t="s">
        <v>1348</v>
      </c>
      <c r="J25" t="s">
        <v>1349</v>
      </c>
      <c r="K25" s="2" t="s">
        <v>1363</v>
      </c>
    </row>
    <row r="26" spans="1:11" x14ac:dyDescent="0.3">
      <c r="A26" s="5" t="str">
        <f t="shared" si="2"/>
        <v>25.09.2024</v>
      </c>
      <c r="B26" s="3" t="s">
        <v>1338</v>
      </c>
      <c r="C26" s="4"/>
      <c r="D26" s="4"/>
      <c r="E26" s="4"/>
      <c r="F26" s="4"/>
      <c r="G26" s="1">
        <v>6</v>
      </c>
      <c r="H26" t="s">
        <v>1350</v>
      </c>
      <c r="I26" t="s">
        <v>1341</v>
      </c>
      <c r="J26" t="s">
        <v>1351</v>
      </c>
      <c r="K26" s="2" t="s">
        <v>1364</v>
      </c>
    </row>
    <row r="27" spans="1:11" x14ac:dyDescent="0.3">
      <c r="A27" s="5" t="str">
        <f t="shared" si="2"/>
        <v>25.09.2024</v>
      </c>
      <c r="B27" s="3" t="s">
        <v>1338</v>
      </c>
      <c r="C27" s="4"/>
      <c r="D27" s="4"/>
      <c r="E27" s="4"/>
      <c r="F27" s="4"/>
      <c r="G27" s="1">
        <v>7</v>
      </c>
      <c r="H27" t="s">
        <v>1352</v>
      </c>
      <c r="I27" t="s">
        <v>1032</v>
      </c>
      <c r="J27" t="s">
        <v>1353</v>
      </c>
      <c r="K27" s="2" t="s">
        <v>1365</v>
      </c>
    </row>
    <row r="28" spans="1:11" x14ac:dyDescent="0.3">
      <c r="A28" s="5" t="str">
        <f t="shared" si="2"/>
        <v>25.09.2024</v>
      </c>
      <c r="B28" s="3" t="s">
        <v>1338</v>
      </c>
      <c r="C28" s="4"/>
      <c r="D28" s="4"/>
      <c r="E28" s="4"/>
      <c r="F28" s="4"/>
      <c r="G28" s="1">
        <v>8</v>
      </c>
      <c r="H28" t="s">
        <v>1368</v>
      </c>
      <c r="I28" t="s">
        <v>1354</v>
      </c>
      <c r="J28" t="s">
        <v>1355</v>
      </c>
      <c r="K28" s="2" t="s">
        <v>1366</v>
      </c>
    </row>
    <row r="29" spans="1:11" x14ac:dyDescent="0.3">
      <c r="A29" s="5" t="str">
        <f t="shared" si="2"/>
        <v>25.09.2024</v>
      </c>
      <c r="B29" s="3" t="s">
        <v>1338</v>
      </c>
      <c r="C29" s="4"/>
      <c r="D29" s="4"/>
      <c r="E29" s="4"/>
      <c r="F29" s="4"/>
      <c r="G29" s="1">
        <v>9</v>
      </c>
      <c r="H29" t="s">
        <v>1356</v>
      </c>
      <c r="I29" t="s">
        <v>1357</v>
      </c>
      <c r="J29" t="s">
        <v>1358</v>
      </c>
      <c r="K29" s="2" t="s">
        <v>1367</v>
      </c>
    </row>
    <row r="30" spans="1:11" ht="27.6" x14ac:dyDescent="0.3">
      <c r="A30" s="5" t="str">
        <f>"20.09.2024"</f>
        <v>20.09.2024</v>
      </c>
      <c r="B30" s="3" t="s">
        <v>1337</v>
      </c>
      <c r="C30" s="4"/>
      <c r="D30" s="4"/>
      <c r="E30" s="4"/>
      <c r="F30" s="4"/>
      <c r="G30" s="1"/>
      <c r="H30" s="4"/>
      <c r="I30" s="4"/>
      <c r="J30" s="13"/>
      <c r="K30" s="2"/>
    </row>
    <row r="31" spans="1:11" x14ac:dyDescent="0.3">
      <c r="A31" s="5" t="str">
        <f t="shared" ref="A31:A37" si="3">"29.08.2024"</f>
        <v>29.08.2024</v>
      </c>
      <c r="B31" s="3" t="s">
        <v>1308</v>
      </c>
      <c r="C31" s="27" t="s">
        <v>1336</v>
      </c>
      <c r="D31" s="4" t="s">
        <v>1335</v>
      </c>
      <c r="E31" s="4"/>
      <c r="F31" s="4"/>
      <c r="G31" s="1">
        <v>1</v>
      </c>
      <c r="H31" s="20" t="s">
        <v>1309</v>
      </c>
      <c r="I31" s="20" t="s">
        <v>1310</v>
      </c>
      <c r="J31" s="20" t="s">
        <v>1311</v>
      </c>
      <c r="K31" s="2" t="s">
        <v>1312</v>
      </c>
    </row>
    <row r="32" spans="1:11" x14ac:dyDescent="0.3">
      <c r="A32" s="5" t="str">
        <f t="shared" si="3"/>
        <v>29.08.2024</v>
      </c>
      <c r="B32" s="3" t="s">
        <v>1308</v>
      </c>
      <c r="C32" s="4"/>
      <c r="D32" s="4"/>
      <c r="E32" s="4"/>
      <c r="F32" s="4"/>
      <c r="G32" s="1">
        <v>2</v>
      </c>
      <c r="H32" s="20" t="s">
        <v>1313</v>
      </c>
      <c r="I32" s="20" t="s">
        <v>897</v>
      </c>
      <c r="J32" s="20" t="s">
        <v>1314</v>
      </c>
      <c r="K32" s="2" t="s">
        <v>1315</v>
      </c>
    </row>
    <row r="33" spans="1:12" x14ac:dyDescent="0.3">
      <c r="A33" s="5" t="str">
        <f t="shared" si="3"/>
        <v>29.08.2024</v>
      </c>
      <c r="B33" s="3" t="s">
        <v>1308</v>
      </c>
      <c r="C33" s="4"/>
      <c r="D33" s="4"/>
      <c r="E33" s="4"/>
      <c r="F33" s="4"/>
      <c r="G33" s="1">
        <v>3</v>
      </c>
      <c r="H33" s="20" t="s">
        <v>1316</v>
      </c>
      <c r="I33" s="20" t="s">
        <v>1032</v>
      </c>
      <c r="J33" s="20" t="s">
        <v>1317</v>
      </c>
      <c r="K33" s="2" t="s">
        <v>1318</v>
      </c>
    </row>
    <row r="34" spans="1:12" x14ac:dyDescent="0.3">
      <c r="A34" s="5" t="str">
        <f t="shared" si="3"/>
        <v>29.08.2024</v>
      </c>
      <c r="B34" s="3" t="s">
        <v>1308</v>
      </c>
      <c r="C34" s="4"/>
      <c r="D34" s="4"/>
      <c r="E34" s="4"/>
      <c r="F34" s="4"/>
      <c r="G34" s="1">
        <v>4</v>
      </c>
      <c r="H34" s="20" t="s">
        <v>1319</v>
      </c>
      <c r="I34" s="20" t="s">
        <v>1320</v>
      </c>
      <c r="J34" s="20" t="s">
        <v>1321</v>
      </c>
      <c r="K34" s="2" t="s">
        <v>1322</v>
      </c>
    </row>
    <row r="35" spans="1:12" x14ac:dyDescent="0.3">
      <c r="A35" s="5" t="str">
        <f t="shared" si="3"/>
        <v>29.08.2024</v>
      </c>
      <c r="B35" s="3" t="s">
        <v>1308</v>
      </c>
      <c r="C35" s="4"/>
      <c r="D35" s="4"/>
      <c r="E35" s="4"/>
      <c r="F35" s="4"/>
      <c r="G35" s="1">
        <v>5</v>
      </c>
      <c r="H35" s="20" t="s">
        <v>1323</v>
      </c>
      <c r="I35" s="20" t="s">
        <v>1324</v>
      </c>
      <c r="J35" s="20" t="s">
        <v>1325</v>
      </c>
      <c r="K35" s="2" t="s">
        <v>1326</v>
      </c>
    </row>
    <row r="36" spans="1:12" x14ac:dyDescent="0.3">
      <c r="A36" s="5" t="str">
        <f t="shared" si="3"/>
        <v>29.08.2024</v>
      </c>
      <c r="B36" s="3" t="s">
        <v>1308</v>
      </c>
      <c r="C36" s="4"/>
      <c r="D36" s="4"/>
      <c r="E36" s="4"/>
      <c r="F36" s="4"/>
      <c r="G36" s="1">
        <v>6</v>
      </c>
      <c r="H36" s="20" t="s">
        <v>1327</v>
      </c>
      <c r="I36" s="20" t="s">
        <v>1328</v>
      </c>
      <c r="J36" s="20" t="s">
        <v>1329</v>
      </c>
      <c r="K36" s="2" t="s">
        <v>1330</v>
      </c>
    </row>
    <row r="37" spans="1:12" x14ac:dyDescent="0.3">
      <c r="A37" s="5" t="str">
        <f t="shared" si="3"/>
        <v>29.08.2024</v>
      </c>
      <c r="B37" s="3" t="s">
        <v>1308</v>
      </c>
      <c r="C37" s="4"/>
      <c r="D37" s="4"/>
      <c r="E37" s="4"/>
      <c r="F37" s="4"/>
      <c r="G37" s="1">
        <v>7</v>
      </c>
      <c r="H37" s="20" t="s">
        <v>1331</v>
      </c>
      <c r="I37" s="20" t="s">
        <v>1332</v>
      </c>
      <c r="J37" s="20" t="s">
        <v>1333</v>
      </c>
      <c r="K37" s="2" t="s">
        <v>1334</v>
      </c>
    </row>
    <row r="38" spans="1:12" ht="18" x14ac:dyDescent="0.35">
      <c r="A38" s="5" t="str">
        <f t="shared" ref="A38:A43" si="4">"16.05.2024"</f>
        <v>16.05.2024</v>
      </c>
      <c r="B38" s="3" t="s">
        <v>1268</v>
      </c>
      <c r="C38" s="4"/>
      <c r="D38" s="4"/>
      <c r="E38" s="4"/>
      <c r="F38" s="4"/>
      <c r="G38" s="1">
        <v>2</v>
      </c>
      <c r="H38" s="24" t="s">
        <v>1269</v>
      </c>
      <c r="I38" s="24" t="s">
        <v>1275</v>
      </c>
      <c r="J38" s="24" t="s">
        <v>1279</v>
      </c>
      <c r="K38" s="2" t="s">
        <v>1287</v>
      </c>
    </row>
    <row r="39" spans="1:12" ht="18" x14ac:dyDescent="0.35">
      <c r="A39" s="5" t="str">
        <f t="shared" si="4"/>
        <v>16.05.2024</v>
      </c>
      <c r="B39" s="3" t="s">
        <v>1268</v>
      </c>
      <c r="C39" s="4"/>
      <c r="D39" s="4"/>
      <c r="E39" s="4"/>
      <c r="F39" s="4"/>
      <c r="G39" s="1">
        <v>3</v>
      </c>
      <c r="H39" s="24" t="s">
        <v>1270</v>
      </c>
      <c r="I39" s="24" t="s">
        <v>1032</v>
      </c>
      <c r="J39" s="24" t="s">
        <v>1280</v>
      </c>
      <c r="K39" s="2" t="s">
        <v>1307</v>
      </c>
    </row>
    <row r="40" spans="1:12" ht="18" x14ac:dyDescent="0.35">
      <c r="A40" s="5" t="str">
        <f t="shared" si="4"/>
        <v>16.05.2024</v>
      </c>
      <c r="B40" s="3" t="s">
        <v>1268</v>
      </c>
      <c r="C40" s="4"/>
      <c r="D40" s="4"/>
      <c r="E40" s="4"/>
      <c r="F40" s="4"/>
      <c r="G40" s="1">
        <v>4</v>
      </c>
      <c r="H40" s="24" t="s">
        <v>1271</v>
      </c>
      <c r="I40" s="24" t="s">
        <v>1276</v>
      </c>
      <c r="J40" s="24" t="s">
        <v>1281</v>
      </c>
      <c r="K40" s="2" t="s">
        <v>1288</v>
      </c>
    </row>
    <row r="41" spans="1:12" ht="18" x14ac:dyDescent="0.35">
      <c r="A41" s="5" t="str">
        <f t="shared" si="4"/>
        <v>16.05.2024</v>
      </c>
      <c r="B41" s="3" t="s">
        <v>1268</v>
      </c>
      <c r="C41" s="4"/>
      <c r="D41" s="4"/>
      <c r="E41" s="4"/>
      <c r="F41" s="4"/>
      <c r="G41" s="1">
        <v>5</v>
      </c>
      <c r="H41" s="24" t="s">
        <v>1272</v>
      </c>
      <c r="I41" s="24" t="s">
        <v>1277</v>
      </c>
      <c r="J41" s="24" t="s">
        <v>1282</v>
      </c>
      <c r="K41" s="2" t="s">
        <v>1289</v>
      </c>
    </row>
    <row r="42" spans="1:12" ht="18" x14ac:dyDescent="0.35">
      <c r="A42" s="5" t="str">
        <f t="shared" si="4"/>
        <v>16.05.2024</v>
      </c>
      <c r="B42" s="3" t="s">
        <v>1268</v>
      </c>
      <c r="C42" s="4"/>
      <c r="D42" s="4"/>
      <c r="E42" s="4"/>
      <c r="F42" s="4"/>
      <c r="G42" s="1">
        <v>6</v>
      </c>
      <c r="H42" s="24" t="s">
        <v>1273</v>
      </c>
      <c r="I42" s="24" t="s">
        <v>1278</v>
      </c>
      <c r="J42" s="24" t="s">
        <v>1283</v>
      </c>
      <c r="K42" s="2" t="s">
        <v>1290</v>
      </c>
    </row>
    <row r="43" spans="1:12" ht="18" x14ac:dyDescent="0.35">
      <c r="A43" s="5" t="str">
        <f t="shared" si="4"/>
        <v>16.05.2024</v>
      </c>
      <c r="B43" s="3" t="s">
        <v>1268</v>
      </c>
      <c r="C43" s="4"/>
      <c r="D43" s="4"/>
      <c r="E43" s="4"/>
      <c r="F43" s="4"/>
      <c r="G43" s="1">
        <v>7</v>
      </c>
      <c r="H43" s="24" t="s">
        <v>1274</v>
      </c>
      <c r="I43" s="24" t="s">
        <v>897</v>
      </c>
      <c r="J43" s="25" t="s">
        <v>1284</v>
      </c>
      <c r="K43" s="2" t="s">
        <v>1292</v>
      </c>
    </row>
    <row r="44" spans="1:12" x14ac:dyDescent="0.3">
      <c r="A44" s="5" t="str">
        <f t="shared" ref="A44:A48" si="5">"16.05.2024"</f>
        <v>16.05.2024</v>
      </c>
      <c r="B44" s="3" t="s">
        <v>1268</v>
      </c>
      <c r="C44" s="4"/>
      <c r="D44" s="4"/>
      <c r="E44" s="4"/>
      <c r="F44" s="4"/>
      <c r="G44" s="1">
        <v>8</v>
      </c>
      <c r="H44" s="20" t="s">
        <v>1285</v>
      </c>
      <c r="I44" s="20" t="s">
        <v>941</v>
      </c>
      <c r="J44" s="20" t="s">
        <v>1286</v>
      </c>
      <c r="K44" s="2" t="s">
        <v>1291</v>
      </c>
    </row>
    <row r="45" spans="1:12" ht="18" x14ac:dyDescent="0.35">
      <c r="A45" s="5" t="str">
        <f t="shared" si="5"/>
        <v>16.05.2024</v>
      </c>
      <c r="B45" s="3" t="s">
        <v>1268</v>
      </c>
      <c r="C45" s="4"/>
      <c r="D45" s="4"/>
      <c r="E45" s="4"/>
      <c r="F45" s="4"/>
      <c r="G45" s="1">
        <v>9</v>
      </c>
      <c r="H45" s="24" t="s">
        <v>1293</v>
      </c>
      <c r="I45" s="24" t="s">
        <v>897</v>
      </c>
      <c r="J45" s="24" t="s">
        <v>1300</v>
      </c>
      <c r="K45" s="2"/>
      <c r="L45" s="26" t="s">
        <v>1303</v>
      </c>
    </row>
    <row r="46" spans="1:12" ht="18" x14ac:dyDescent="0.35">
      <c r="A46" s="5" t="str">
        <f t="shared" si="5"/>
        <v>16.05.2024</v>
      </c>
      <c r="B46" s="3" t="s">
        <v>1268</v>
      </c>
      <c r="C46" s="4"/>
      <c r="D46" s="4"/>
      <c r="E46" s="4"/>
      <c r="F46" s="4"/>
      <c r="G46" s="1">
        <v>10</v>
      </c>
      <c r="H46" s="24" t="s">
        <v>1294</v>
      </c>
      <c r="I46" s="24" t="s">
        <v>1297</v>
      </c>
      <c r="J46" s="24" t="s">
        <v>1299</v>
      </c>
      <c r="K46" s="2" t="s">
        <v>1304</v>
      </c>
    </row>
    <row r="47" spans="1:12" ht="18" x14ac:dyDescent="0.35">
      <c r="A47" s="5" t="str">
        <f t="shared" si="5"/>
        <v>16.05.2024</v>
      </c>
      <c r="B47" s="3" t="s">
        <v>1268</v>
      </c>
      <c r="C47" s="4"/>
      <c r="D47" s="4"/>
      <c r="E47" s="4"/>
      <c r="F47" s="4"/>
      <c r="G47" s="1">
        <v>11</v>
      </c>
      <c r="H47" s="24" t="s">
        <v>1295</v>
      </c>
      <c r="I47" s="24" t="s">
        <v>1298</v>
      </c>
      <c r="J47" s="24" t="s">
        <v>1301</v>
      </c>
      <c r="K47" s="2" t="s">
        <v>1305</v>
      </c>
    </row>
    <row r="48" spans="1:12" ht="18" x14ac:dyDescent="0.35">
      <c r="A48" s="5" t="str">
        <f t="shared" si="5"/>
        <v>16.05.2024</v>
      </c>
      <c r="B48" s="3" t="s">
        <v>1268</v>
      </c>
      <c r="C48" s="4"/>
      <c r="D48" s="4"/>
      <c r="E48" s="4"/>
      <c r="F48" s="4"/>
      <c r="G48" s="1">
        <v>12</v>
      </c>
      <c r="H48" s="24" t="s">
        <v>1296</v>
      </c>
      <c r="I48" s="24" t="s">
        <v>1032</v>
      </c>
      <c r="J48" s="24" t="s">
        <v>1302</v>
      </c>
      <c r="K48" s="2" t="s">
        <v>1306</v>
      </c>
    </row>
    <row r="49" spans="1:11" x14ac:dyDescent="0.3">
      <c r="A49" s="5" t="s">
        <v>1266</v>
      </c>
      <c r="B49" s="3" t="s">
        <v>1267</v>
      </c>
      <c r="C49" s="4"/>
      <c r="D49" s="4"/>
      <c r="E49" s="4"/>
      <c r="F49" s="4"/>
      <c r="G49" s="1"/>
      <c r="H49" s="4"/>
      <c r="I49" s="4"/>
      <c r="J49" s="13"/>
      <c r="K49" s="2"/>
    </row>
    <row r="50" spans="1:11" x14ac:dyDescent="0.3">
      <c r="A50" s="23" t="s">
        <v>1264</v>
      </c>
      <c r="B50" s="3" t="s">
        <v>1240</v>
      </c>
      <c r="C50" s="4" t="s">
        <v>1265</v>
      </c>
      <c r="D50" s="4"/>
      <c r="E50" s="4"/>
      <c r="F50" s="4"/>
      <c r="G50" s="1">
        <v>1</v>
      </c>
      <c r="H50" s="4" t="s">
        <v>1241</v>
      </c>
      <c r="I50" s="4" t="s">
        <v>135</v>
      </c>
      <c r="J50" s="13" t="s">
        <v>1242</v>
      </c>
      <c r="K50" s="2" t="s">
        <v>1243</v>
      </c>
    </row>
    <row r="51" spans="1:11" x14ac:dyDescent="0.3">
      <c r="A51" s="23" t="s">
        <v>1264</v>
      </c>
      <c r="B51" s="3" t="s">
        <v>1240</v>
      </c>
      <c r="C51" s="4"/>
      <c r="D51" s="4"/>
      <c r="E51" s="4"/>
      <c r="F51" s="4"/>
      <c r="G51" s="1">
        <v>2</v>
      </c>
      <c r="H51" s="4" t="s">
        <v>1244</v>
      </c>
      <c r="I51" s="4" t="s">
        <v>1245</v>
      </c>
      <c r="J51" s="13" t="s">
        <v>1246</v>
      </c>
      <c r="K51" s="2" t="s">
        <v>1247</v>
      </c>
    </row>
    <row r="52" spans="1:11" x14ac:dyDescent="0.3">
      <c r="A52" s="23" t="s">
        <v>1264</v>
      </c>
      <c r="B52" s="3" t="s">
        <v>1240</v>
      </c>
      <c r="C52" s="4"/>
      <c r="D52" s="4"/>
      <c r="E52" s="4"/>
      <c r="F52" s="4"/>
      <c r="G52" s="1">
        <v>3</v>
      </c>
      <c r="H52" s="4" t="s">
        <v>1248</v>
      </c>
      <c r="I52" s="4" t="s">
        <v>1249</v>
      </c>
      <c r="J52" s="13" t="s">
        <v>1250</v>
      </c>
      <c r="K52" s="2" t="s">
        <v>1251</v>
      </c>
    </row>
    <row r="53" spans="1:11" x14ac:dyDescent="0.3">
      <c r="A53" s="23" t="s">
        <v>1264</v>
      </c>
      <c r="B53" s="3" t="s">
        <v>1240</v>
      </c>
      <c r="C53" s="4"/>
      <c r="D53" s="4"/>
      <c r="E53" s="4"/>
      <c r="F53" s="4"/>
      <c r="G53" s="1">
        <v>4</v>
      </c>
      <c r="H53" s="4" t="s">
        <v>1252</v>
      </c>
      <c r="I53" s="4" t="s">
        <v>1032</v>
      </c>
      <c r="J53" s="13" t="s">
        <v>1253</v>
      </c>
      <c r="K53" s="2" t="s">
        <v>1254</v>
      </c>
    </row>
    <row r="54" spans="1:11" x14ac:dyDescent="0.3">
      <c r="A54" s="23" t="s">
        <v>1264</v>
      </c>
      <c r="B54" s="3" t="s">
        <v>1240</v>
      </c>
      <c r="C54" s="4"/>
      <c r="D54" s="4"/>
      <c r="E54" s="4"/>
      <c r="F54" s="4"/>
      <c r="G54" s="1">
        <v>5</v>
      </c>
      <c r="H54" s="4" t="s">
        <v>303</v>
      </c>
      <c r="I54" s="4" t="s">
        <v>897</v>
      </c>
      <c r="J54" s="13" t="s">
        <v>1255</v>
      </c>
      <c r="K54" s="2" t="s">
        <v>1256</v>
      </c>
    </row>
    <row r="55" spans="1:11" x14ac:dyDescent="0.3">
      <c r="A55" s="23" t="s">
        <v>1264</v>
      </c>
      <c r="B55" s="3" t="s">
        <v>1240</v>
      </c>
      <c r="C55" s="4"/>
      <c r="D55" s="4"/>
      <c r="E55" s="4"/>
      <c r="F55" s="4"/>
      <c r="G55" s="1">
        <v>6</v>
      </c>
      <c r="H55" s="4" t="s">
        <v>1257</v>
      </c>
      <c r="I55" s="4" t="s">
        <v>1258</v>
      </c>
      <c r="J55" s="13" t="s">
        <v>1259</v>
      </c>
      <c r="K55" s="2" t="s">
        <v>1260</v>
      </c>
    </row>
    <row r="56" spans="1:11" x14ac:dyDescent="0.3">
      <c r="A56" s="23" t="s">
        <v>1264</v>
      </c>
      <c r="B56" s="3" t="s">
        <v>1240</v>
      </c>
      <c r="C56" s="4"/>
      <c r="D56" s="4"/>
      <c r="E56" s="4"/>
      <c r="F56" s="4"/>
      <c r="G56" s="1">
        <v>7</v>
      </c>
      <c r="H56" s="4" t="s">
        <v>1261</v>
      </c>
      <c r="I56" s="7" t="s">
        <v>920</v>
      </c>
      <c r="J56" s="4" t="s">
        <v>1262</v>
      </c>
      <c r="K56" s="2" t="s">
        <v>1263</v>
      </c>
    </row>
    <row r="57" spans="1:11" x14ac:dyDescent="0.3">
      <c r="A57" s="5" t="str">
        <f t="shared" ref="A57:A64" si="6">"06.11.2023"</f>
        <v>06.11.2023</v>
      </c>
      <c r="B57" s="3" t="s">
        <v>1190</v>
      </c>
      <c r="C57" s="4" t="s">
        <v>1217</v>
      </c>
      <c r="D57" s="4" t="s">
        <v>1218</v>
      </c>
      <c r="E57" s="4"/>
      <c r="F57" s="4"/>
      <c r="G57" s="1">
        <v>1</v>
      </c>
      <c r="H57" s="4" t="s">
        <v>1191</v>
      </c>
      <c r="I57" s="4" t="s">
        <v>1198</v>
      </c>
      <c r="J57" s="13" t="s">
        <v>1201</v>
      </c>
      <c r="K57" s="2" t="s">
        <v>1209</v>
      </c>
    </row>
    <row r="58" spans="1:11" x14ac:dyDescent="0.3">
      <c r="A58" s="5" t="str">
        <f t="shared" si="6"/>
        <v>06.11.2023</v>
      </c>
      <c r="B58" s="3" t="s">
        <v>1190</v>
      </c>
      <c r="C58" s="4"/>
      <c r="D58" s="4"/>
      <c r="E58" s="4"/>
      <c r="F58" s="4"/>
      <c r="G58" s="1">
        <v>2</v>
      </c>
      <c r="H58" s="4" t="s">
        <v>1192</v>
      </c>
      <c r="I58" s="4" t="s">
        <v>1199</v>
      </c>
      <c r="J58" s="13" t="s">
        <v>1202</v>
      </c>
      <c r="K58" s="2" t="s">
        <v>1210</v>
      </c>
    </row>
    <row r="59" spans="1:11" x14ac:dyDescent="0.3">
      <c r="A59" s="5" t="str">
        <f t="shared" si="6"/>
        <v>06.11.2023</v>
      </c>
      <c r="B59" s="3" t="s">
        <v>1190</v>
      </c>
      <c r="C59" s="4"/>
      <c r="D59" s="4"/>
      <c r="E59" s="4"/>
      <c r="F59" s="4"/>
      <c r="G59" s="1">
        <v>3</v>
      </c>
      <c r="H59" s="4" t="s">
        <v>121</v>
      </c>
      <c r="I59" s="4" t="s">
        <v>1032</v>
      </c>
      <c r="J59" s="13" t="s">
        <v>1203</v>
      </c>
      <c r="K59" s="2" t="s">
        <v>1211</v>
      </c>
    </row>
    <row r="60" spans="1:11" x14ac:dyDescent="0.3">
      <c r="A60" s="5" t="str">
        <f t="shared" si="6"/>
        <v>06.11.2023</v>
      </c>
      <c r="B60" s="3" t="s">
        <v>1190</v>
      </c>
      <c r="C60" s="4"/>
      <c r="D60" s="4"/>
      <c r="E60" s="4"/>
      <c r="F60" s="4"/>
      <c r="G60" s="1">
        <v>4</v>
      </c>
      <c r="H60" s="4" t="s">
        <v>1193</v>
      </c>
      <c r="I60" s="4" t="s">
        <v>1200</v>
      </c>
      <c r="J60" s="13" t="s">
        <v>1204</v>
      </c>
      <c r="K60" s="2" t="s">
        <v>1215</v>
      </c>
    </row>
    <row r="61" spans="1:11" x14ac:dyDescent="0.3">
      <c r="A61" s="5" t="str">
        <f t="shared" si="6"/>
        <v>06.11.2023</v>
      </c>
      <c r="B61" s="3" t="s">
        <v>1190</v>
      </c>
      <c r="C61" s="4"/>
      <c r="D61" s="4"/>
      <c r="E61" s="4"/>
      <c r="F61" s="4"/>
      <c r="G61" s="1">
        <v>5</v>
      </c>
      <c r="H61" s="4" t="s">
        <v>1194</v>
      </c>
      <c r="I61" s="4" t="s">
        <v>897</v>
      </c>
      <c r="J61" s="13" t="s">
        <v>1205</v>
      </c>
      <c r="K61" s="2" t="s">
        <v>1212</v>
      </c>
    </row>
    <row r="62" spans="1:11" x14ac:dyDescent="0.3">
      <c r="A62" s="5" t="str">
        <f t="shared" si="6"/>
        <v>06.11.2023</v>
      </c>
      <c r="B62" s="3" t="s">
        <v>1190</v>
      </c>
      <c r="C62" s="4"/>
      <c r="D62" s="4"/>
      <c r="E62" s="4"/>
      <c r="F62" s="4"/>
      <c r="G62" s="1">
        <v>6</v>
      </c>
      <c r="H62" s="4" t="s">
        <v>1195</v>
      </c>
      <c r="I62" s="4" t="s">
        <v>1032</v>
      </c>
      <c r="J62" s="13" t="s">
        <v>1206</v>
      </c>
      <c r="K62" s="2" t="s">
        <v>1213</v>
      </c>
    </row>
    <row r="63" spans="1:11" x14ac:dyDescent="0.3">
      <c r="A63" s="5" t="str">
        <f t="shared" si="6"/>
        <v>06.11.2023</v>
      </c>
      <c r="B63" s="3" t="s">
        <v>1190</v>
      </c>
      <c r="C63" s="4"/>
      <c r="D63" s="4"/>
      <c r="E63" s="4"/>
      <c r="F63" s="4"/>
      <c r="G63" s="1">
        <v>7</v>
      </c>
      <c r="H63" s="4" t="s">
        <v>1196</v>
      </c>
      <c r="I63" s="4" t="s">
        <v>17</v>
      </c>
      <c r="J63" s="13" t="s">
        <v>1207</v>
      </c>
      <c r="K63" s="2" t="s">
        <v>1214</v>
      </c>
    </row>
    <row r="64" spans="1:11" x14ac:dyDescent="0.3">
      <c r="A64" s="5" t="str">
        <f t="shared" si="6"/>
        <v>06.11.2023</v>
      </c>
      <c r="B64" s="3" t="s">
        <v>1190</v>
      </c>
      <c r="C64" s="4"/>
      <c r="D64" s="4"/>
      <c r="E64" s="4"/>
      <c r="F64" s="4"/>
      <c r="G64" s="1">
        <v>8</v>
      </c>
      <c r="H64" s="4" t="s">
        <v>1197</v>
      </c>
      <c r="I64" s="4"/>
      <c r="J64" s="13" t="s">
        <v>1208</v>
      </c>
      <c r="K64" s="2" t="s">
        <v>1216</v>
      </c>
    </row>
    <row r="65" spans="1:11" x14ac:dyDescent="0.3">
      <c r="A65" s="5" t="str">
        <f t="shared" ref="A65:A71" si="7">"16.10.2023"</f>
        <v>16.10.2023</v>
      </c>
      <c r="B65" s="3" t="s">
        <v>1239</v>
      </c>
      <c r="C65" s="4"/>
      <c r="D65" s="4"/>
      <c r="E65" s="4"/>
      <c r="F65" s="4"/>
      <c r="G65" s="1">
        <v>1</v>
      </c>
      <c r="H65" s="4" t="s">
        <v>932</v>
      </c>
      <c r="I65" s="4" t="s">
        <v>1219</v>
      </c>
      <c r="J65" t="s">
        <v>1220</v>
      </c>
      <c r="K65" s="2" t="s">
        <v>1221</v>
      </c>
    </row>
    <row r="66" spans="1:11" x14ac:dyDescent="0.3">
      <c r="A66" s="5" t="str">
        <f t="shared" si="7"/>
        <v>16.10.2023</v>
      </c>
      <c r="B66" s="3" t="s">
        <v>1239</v>
      </c>
      <c r="C66" s="4"/>
      <c r="D66" s="4"/>
      <c r="E66" s="4"/>
      <c r="F66" s="4"/>
      <c r="G66" s="1">
        <v>2</v>
      </c>
      <c r="H66" t="s">
        <v>230</v>
      </c>
      <c r="I66" s="4" t="s">
        <v>17</v>
      </c>
      <c r="J66" t="s">
        <v>1222</v>
      </c>
      <c r="K66" s="2" t="s">
        <v>1223</v>
      </c>
    </row>
    <row r="67" spans="1:11" x14ac:dyDescent="0.3">
      <c r="A67" s="5" t="str">
        <f t="shared" si="7"/>
        <v>16.10.2023</v>
      </c>
      <c r="B67" s="3" t="s">
        <v>1239</v>
      </c>
      <c r="C67" s="4"/>
      <c r="D67" s="4"/>
      <c r="E67" s="4"/>
      <c r="F67" s="4"/>
      <c r="G67" s="1">
        <v>3</v>
      </c>
      <c r="H67" t="s">
        <v>246</v>
      </c>
      <c r="I67" t="s">
        <v>897</v>
      </c>
      <c r="J67" s="13" t="s">
        <v>1224</v>
      </c>
      <c r="K67" s="2" t="s">
        <v>252</v>
      </c>
    </row>
    <row r="68" spans="1:11" x14ac:dyDescent="0.3">
      <c r="A68" s="5" t="str">
        <f t="shared" si="7"/>
        <v>16.10.2023</v>
      </c>
      <c r="B68" s="3" t="s">
        <v>1239</v>
      </c>
      <c r="C68" s="4"/>
      <c r="D68" s="4"/>
      <c r="E68" s="4"/>
      <c r="F68" s="4"/>
      <c r="G68" s="1">
        <v>4</v>
      </c>
      <c r="H68" t="s">
        <v>1053</v>
      </c>
      <c r="I68" s="4" t="s">
        <v>1225</v>
      </c>
      <c r="J68" t="s">
        <v>1226</v>
      </c>
      <c r="K68" s="2" t="s">
        <v>1227</v>
      </c>
    </row>
    <row r="69" spans="1:11" x14ac:dyDescent="0.3">
      <c r="A69" s="5" t="str">
        <f t="shared" si="7"/>
        <v>16.10.2023</v>
      </c>
      <c r="B69" s="3" t="s">
        <v>1239</v>
      </c>
      <c r="C69" s="4"/>
      <c r="D69" s="4"/>
      <c r="E69" s="4"/>
      <c r="F69" s="4"/>
      <c r="G69" s="1">
        <v>5</v>
      </c>
      <c r="H69" t="s">
        <v>1228</v>
      </c>
      <c r="I69" s="4" t="s">
        <v>1032</v>
      </c>
      <c r="J69" t="s">
        <v>1229</v>
      </c>
      <c r="K69" s="2" t="s">
        <v>1230</v>
      </c>
    </row>
    <row r="70" spans="1:11" x14ac:dyDescent="0.3">
      <c r="A70" s="5" t="str">
        <f t="shared" si="7"/>
        <v>16.10.2023</v>
      </c>
      <c r="B70" s="3" t="s">
        <v>1239</v>
      </c>
      <c r="C70" s="4"/>
      <c r="D70" s="4"/>
      <c r="E70" s="4"/>
      <c r="F70" s="4"/>
      <c r="G70" s="1">
        <v>6</v>
      </c>
      <c r="H70" t="s">
        <v>1231</v>
      </c>
      <c r="I70" t="s">
        <v>1232</v>
      </c>
      <c r="J70" t="s">
        <v>1233</v>
      </c>
      <c r="K70" s="2" t="s">
        <v>1234</v>
      </c>
    </row>
    <row r="71" spans="1:11" x14ac:dyDescent="0.3">
      <c r="A71" s="5" t="str">
        <f t="shared" si="7"/>
        <v>16.10.2023</v>
      </c>
      <c r="B71" s="3" t="s">
        <v>1239</v>
      </c>
      <c r="C71" s="4"/>
      <c r="D71" s="4"/>
      <c r="E71" s="4"/>
      <c r="F71" s="4"/>
      <c r="G71" s="1">
        <v>7</v>
      </c>
      <c r="H71" t="s">
        <v>1235</v>
      </c>
      <c r="I71" t="s">
        <v>1236</v>
      </c>
      <c r="J71" t="s">
        <v>1237</v>
      </c>
      <c r="K71" s="2" t="s">
        <v>1238</v>
      </c>
    </row>
    <row r="72" spans="1:11" x14ac:dyDescent="0.3">
      <c r="A72" s="5" t="str">
        <f t="shared" ref="A72:A77" si="8">"04.10.2023"</f>
        <v>04.10.2023</v>
      </c>
      <c r="B72" s="3" t="s">
        <v>1166</v>
      </c>
      <c r="C72" s="3"/>
      <c r="D72" s="7"/>
      <c r="E72" s="7"/>
      <c r="F72" s="7"/>
      <c r="G72" s="7">
        <v>1</v>
      </c>
      <c r="H72" s="7" t="s">
        <v>1169</v>
      </c>
      <c r="I72" s="7" t="s">
        <v>897</v>
      </c>
      <c r="J72" s="7" t="s">
        <v>1188</v>
      </c>
      <c r="K72" s="7" t="s">
        <v>1170</v>
      </c>
    </row>
    <row r="73" spans="1:11" x14ac:dyDescent="0.3">
      <c r="A73" s="5" t="str">
        <f t="shared" si="8"/>
        <v>04.10.2023</v>
      </c>
      <c r="B73" s="3" t="s">
        <v>1166</v>
      </c>
      <c r="C73" s="3"/>
      <c r="D73" s="7"/>
      <c r="E73" s="7"/>
      <c r="F73" s="7"/>
      <c r="G73" s="7">
        <v>2</v>
      </c>
      <c r="H73" s="7" t="s">
        <v>1172</v>
      </c>
      <c r="I73" s="7" t="s">
        <v>1173</v>
      </c>
      <c r="J73" s="7" t="s">
        <v>1174</v>
      </c>
      <c r="K73" s="7" t="s">
        <v>1171</v>
      </c>
    </row>
    <row r="74" spans="1:11" x14ac:dyDescent="0.3">
      <c r="A74" s="5" t="str">
        <f t="shared" si="8"/>
        <v>04.10.2023</v>
      </c>
      <c r="B74" s="3" t="s">
        <v>1166</v>
      </c>
      <c r="C74" s="3"/>
      <c r="D74" s="7"/>
      <c r="E74" s="7"/>
      <c r="F74" s="7"/>
      <c r="G74" s="7">
        <v>3</v>
      </c>
      <c r="H74" s="7" t="s">
        <v>1175</v>
      </c>
      <c r="I74" s="7" t="s">
        <v>1176</v>
      </c>
      <c r="J74" s="7" t="s">
        <v>1177</v>
      </c>
      <c r="K74" s="7" t="s">
        <v>1178</v>
      </c>
    </row>
    <row r="75" spans="1:11" x14ac:dyDescent="0.3">
      <c r="A75" s="5" t="str">
        <f t="shared" si="8"/>
        <v>04.10.2023</v>
      </c>
      <c r="B75" s="3" t="s">
        <v>1166</v>
      </c>
      <c r="C75" s="3"/>
      <c r="D75" s="7"/>
      <c r="E75" s="7"/>
      <c r="F75" s="7"/>
      <c r="G75" s="7">
        <v>4</v>
      </c>
      <c r="H75" s="7" t="s">
        <v>1179</v>
      </c>
      <c r="I75" s="7" t="s">
        <v>1180</v>
      </c>
      <c r="J75" s="7" t="s">
        <v>1181</v>
      </c>
      <c r="K75" s="7" t="s">
        <v>1187</v>
      </c>
    </row>
    <row r="76" spans="1:11" x14ac:dyDescent="0.3">
      <c r="A76" s="5" t="str">
        <f t="shared" si="8"/>
        <v>04.10.2023</v>
      </c>
      <c r="B76" s="3" t="s">
        <v>1166</v>
      </c>
      <c r="C76" s="3"/>
      <c r="D76" s="7"/>
      <c r="E76" s="7"/>
      <c r="F76" s="7"/>
      <c r="G76" s="7">
        <v>5</v>
      </c>
      <c r="H76" s="7" t="s">
        <v>31</v>
      </c>
      <c r="I76" s="7" t="s">
        <v>1183</v>
      </c>
      <c r="J76" s="7" t="s">
        <v>1182</v>
      </c>
      <c r="K76" s="7" t="s">
        <v>1031</v>
      </c>
    </row>
    <row r="77" spans="1:11" x14ac:dyDescent="0.3">
      <c r="A77" s="5" t="str">
        <f t="shared" si="8"/>
        <v>04.10.2023</v>
      </c>
      <c r="B77" s="3" t="s">
        <v>1166</v>
      </c>
      <c r="C77" s="3"/>
      <c r="D77" s="7"/>
      <c r="E77" s="7"/>
      <c r="F77" s="7"/>
      <c r="G77" s="7">
        <v>6</v>
      </c>
      <c r="H77" s="7" t="s">
        <v>1184</v>
      </c>
      <c r="I77" s="7" t="s">
        <v>1185</v>
      </c>
      <c r="J77" s="7" t="s">
        <v>1189</v>
      </c>
      <c r="K77" s="7" t="s">
        <v>1186</v>
      </c>
    </row>
    <row r="78" spans="1:11" x14ac:dyDescent="0.3">
      <c r="A78" s="5" t="str">
        <f>"03.09.2023"</f>
        <v>03.09.2023</v>
      </c>
      <c r="B78" s="3" t="s">
        <v>1167</v>
      </c>
      <c r="C78" s="3"/>
      <c r="D78" s="7"/>
      <c r="F78" s="7" t="s">
        <v>1168</v>
      </c>
      <c r="H78" s="7"/>
      <c r="I78" s="7"/>
      <c r="J78" s="7"/>
      <c r="K78" s="7" t="s">
        <v>1168</v>
      </c>
    </row>
    <row r="79" spans="1:11" x14ac:dyDescent="0.3">
      <c r="A79" s="5" t="str">
        <f>"21.06.2023"</f>
        <v>21.06.2023</v>
      </c>
      <c r="B79" s="3" t="s">
        <v>1150</v>
      </c>
      <c r="C79" s="4"/>
      <c r="D79" s="4"/>
      <c r="E79" s="4"/>
      <c r="F79" s="4"/>
      <c r="G79" s="1">
        <v>1</v>
      </c>
      <c r="H79" s="4" t="s">
        <v>1151</v>
      </c>
      <c r="I79" s="4" t="s">
        <v>1152</v>
      </c>
      <c r="J79" s="13" t="s">
        <v>1153</v>
      </c>
      <c r="K79" s="2"/>
    </row>
    <row r="80" spans="1:11" x14ac:dyDescent="0.3">
      <c r="A80" s="5" t="str">
        <f t="shared" ref="A80:A84" si="9">"21.06.2023"</f>
        <v>21.06.2023</v>
      </c>
      <c r="B80" s="3" t="s">
        <v>1150</v>
      </c>
      <c r="C80" s="4"/>
      <c r="D80" s="4"/>
      <c r="E80" s="4"/>
      <c r="F80" s="4"/>
      <c r="G80" s="1">
        <v>2</v>
      </c>
      <c r="H80" s="4" t="s">
        <v>177</v>
      </c>
      <c r="I80" s="4" t="s">
        <v>1032</v>
      </c>
      <c r="J80" s="13" t="s">
        <v>1154</v>
      </c>
      <c r="K80" s="2" t="s">
        <v>915</v>
      </c>
    </row>
    <row r="81" spans="1:11" x14ac:dyDescent="0.3">
      <c r="A81" s="5" t="str">
        <f t="shared" si="9"/>
        <v>21.06.2023</v>
      </c>
      <c r="B81" s="3" t="s">
        <v>1150</v>
      </c>
      <c r="C81" s="4"/>
      <c r="D81" s="4"/>
      <c r="E81" s="4"/>
      <c r="F81" s="4"/>
      <c r="G81" s="1">
        <v>3</v>
      </c>
      <c r="H81" s="4" t="s">
        <v>256</v>
      </c>
      <c r="I81" s="4" t="s">
        <v>897</v>
      </c>
      <c r="J81" s="13" t="s">
        <v>1155</v>
      </c>
      <c r="K81" s="2" t="s">
        <v>270</v>
      </c>
    </row>
    <row r="82" spans="1:11" x14ac:dyDescent="0.3">
      <c r="A82" s="5" t="str">
        <f t="shared" si="9"/>
        <v>21.06.2023</v>
      </c>
      <c r="B82" s="3" t="s">
        <v>1150</v>
      </c>
      <c r="C82" s="4"/>
      <c r="D82" s="4"/>
      <c r="E82" s="4"/>
      <c r="F82" s="4"/>
      <c r="G82" s="1">
        <v>4</v>
      </c>
      <c r="H82" s="4" t="s">
        <v>1156</v>
      </c>
      <c r="I82" s="4" t="s">
        <v>15</v>
      </c>
      <c r="J82" s="13" t="s">
        <v>1157</v>
      </c>
      <c r="K82" s="2" t="s">
        <v>1163</v>
      </c>
    </row>
    <row r="83" spans="1:11" x14ac:dyDescent="0.3">
      <c r="A83" s="5" t="str">
        <f t="shared" si="9"/>
        <v>21.06.2023</v>
      </c>
      <c r="B83" s="3" t="s">
        <v>1150</v>
      </c>
      <c r="C83" s="4"/>
      <c r="D83" s="4"/>
      <c r="E83" s="4"/>
      <c r="F83" s="4"/>
      <c r="G83" s="1">
        <v>5</v>
      </c>
      <c r="H83" s="4" t="s">
        <v>1160</v>
      </c>
      <c r="I83" s="4" t="s">
        <v>1032</v>
      </c>
      <c r="J83" s="13" t="s">
        <v>1158</v>
      </c>
      <c r="K83" s="2" t="s">
        <v>1164</v>
      </c>
    </row>
    <row r="84" spans="1:11" x14ac:dyDescent="0.3">
      <c r="A84" s="5" t="str">
        <f t="shared" si="9"/>
        <v>21.06.2023</v>
      </c>
      <c r="B84" s="3" t="s">
        <v>1150</v>
      </c>
      <c r="C84" s="4"/>
      <c r="D84" s="4"/>
      <c r="E84" s="4"/>
      <c r="F84" s="4"/>
      <c r="G84" s="1">
        <v>6</v>
      </c>
      <c r="H84" s="4" t="s">
        <v>1161</v>
      </c>
      <c r="I84" s="4" t="s">
        <v>1162</v>
      </c>
      <c r="J84" s="13" t="s">
        <v>1159</v>
      </c>
      <c r="K84" s="2" t="s">
        <v>1165</v>
      </c>
    </row>
    <row r="85" spans="1:11" x14ac:dyDescent="0.3">
      <c r="A85" s="5" t="str">
        <f>"19.04.2023"</f>
        <v>19.04.2023</v>
      </c>
      <c r="B85" s="3" t="s">
        <v>1149</v>
      </c>
      <c r="C85" s="4"/>
      <c r="D85" s="4"/>
      <c r="E85" s="4"/>
      <c r="F85" s="4"/>
      <c r="G85" s="1"/>
      <c r="H85" s="4"/>
      <c r="I85" s="4"/>
      <c r="J85" s="13"/>
      <c r="K85" s="2"/>
    </row>
    <row r="86" spans="1:11" x14ac:dyDescent="0.3">
      <c r="A86" s="5" t="str">
        <f>"12.04.2023"</f>
        <v>12.04.2023</v>
      </c>
      <c r="B86" s="3" t="s">
        <v>1136</v>
      </c>
      <c r="C86" s="4" t="s">
        <v>1146</v>
      </c>
      <c r="D86" s="4" t="s">
        <v>1147</v>
      </c>
      <c r="E86" s="4"/>
      <c r="F86" s="4"/>
      <c r="G86" s="1">
        <v>1</v>
      </c>
      <c r="H86" t="s">
        <v>1143</v>
      </c>
      <c r="I86" s="4" t="s">
        <v>897</v>
      </c>
      <c r="J86" s="21" t="s">
        <v>1138</v>
      </c>
      <c r="K86" s="2" t="s">
        <v>1139</v>
      </c>
    </row>
    <row r="87" spans="1:11" x14ac:dyDescent="0.3">
      <c r="A87" s="5" t="str">
        <f>"12.04.2023"</f>
        <v>12.04.2023</v>
      </c>
      <c r="B87" s="3" t="s">
        <v>1136</v>
      </c>
      <c r="C87" s="4"/>
      <c r="D87" s="4"/>
      <c r="E87" s="4"/>
      <c r="F87" s="4"/>
      <c r="G87" s="1">
        <v>2</v>
      </c>
      <c r="H87" t="s">
        <v>1142</v>
      </c>
      <c r="I87" s="4" t="s">
        <v>1032</v>
      </c>
      <c r="J87" s="21" t="s">
        <v>1137</v>
      </c>
      <c r="K87" s="2" t="s">
        <v>915</v>
      </c>
    </row>
    <row r="88" spans="1:11" x14ac:dyDescent="0.3">
      <c r="A88" s="5" t="str">
        <f>"12.04.2023"</f>
        <v>12.04.2023</v>
      </c>
      <c r="B88" s="3" t="s">
        <v>1136</v>
      </c>
      <c r="C88" s="4"/>
      <c r="D88" s="4"/>
      <c r="E88" s="4"/>
      <c r="F88" s="4"/>
      <c r="G88" s="1">
        <v>3</v>
      </c>
      <c r="H88" t="s">
        <v>1144</v>
      </c>
      <c r="I88" s="4" t="s">
        <v>261</v>
      </c>
      <c r="J88" s="21" t="s">
        <v>1145</v>
      </c>
      <c r="K88" s="2"/>
    </row>
    <row r="89" spans="1:11" x14ac:dyDescent="0.3">
      <c r="A89" s="5" t="str">
        <f>"12.04.2023"</f>
        <v>12.04.2023</v>
      </c>
      <c r="B89" s="3" t="s">
        <v>1136</v>
      </c>
      <c r="C89" s="4"/>
      <c r="D89" s="4"/>
      <c r="E89" s="4"/>
      <c r="F89" s="4"/>
      <c r="G89" s="1">
        <v>4</v>
      </c>
      <c r="H89" t="s">
        <v>1148</v>
      </c>
      <c r="I89" s="4" t="s">
        <v>810</v>
      </c>
      <c r="J89" s="21" t="s">
        <v>1140</v>
      </c>
      <c r="K89" s="2" t="s">
        <v>1141</v>
      </c>
    </row>
    <row r="90" spans="1:11" x14ac:dyDescent="0.3">
      <c r="A90" s="1" t="str">
        <f t="shared" ref="A90:A96" si="10">"15.03.2023"</f>
        <v>15.03.2023</v>
      </c>
      <c r="B90" s="3" t="s">
        <v>1111</v>
      </c>
      <c r="C90" s="19" t="s">
        <v>1112</v>
      </c>
      <c r="D90" s="4"/>
      <c r="E90" s="4"/>
      <c r="F90" s="4"/>
      <c r="G90" s="1">
        <v>1</v>
      </c>
      <c r="H90" s="20" t="s">
        <v>1122</v>
      </c>
      <c r="I90" s="20" t="s">
        <v>1113</v>
      </c>
      <c r="J90" s="22" t="s">
        <v>1114</v>
      </c>
      <c r="K90" s="2" t="s">
        <v>1129</v>
      </c>
    </row>
    <row r="91" spans="1:11" x14ac:dyDescent="0.3">
      <c r="A91" s="1" t="str">
        <f t="shared" si="10"/>
        <v>15.03.2023</v>
      </c>
      <c r="B91" s="3" t="s">
        <v>1111</v>
      </c>
      <c r="C91" s="4"/>
      <c r="D91" s="4"/>
      <c r="E91" s="4"/>
      <c r="F91" s="4"/>
      <c r="G91" s="1">
        <v>2</v>
      </c>
      <c r="H91" s="20" t="s">
        <v>1123</v>
      </c>
      <c r="I91" s="20" t="s">
        <v>897</v>
      </c>
      <c r="J91" s="22" t="s">
        <v>1115</v>
      </c>
      <c r="K91" s="2" t="s">
        <v>1130</v>
      </c>
    </row>
    <row r="92" spans="1:11" x14ac:dyDescent="0.3">
      <c r="A92" s="1" t="str">
        <f t="shared" si="10"/>
        <v>15.03.2023</v>
      </c>
      <c r="B92" s="3" t="s">
        <v>1111</v>
      </c>
      <c r="C92" s="4"/>
      <c r="D92" s="4"/>
      <c r="E92" s="4"/>
      <c r="F92" s="4"/>
      <c r="G92" s="1">
        <v>3</v>
      </c>
      <c r="H92" s="20" t="s">
        <v>1124</v>
      </c>
      <c r="I92" s="20" t="s">
        <v>17</v>
      </c>
      <c r="J92" s="22" t="s">
        <v>1116</v>
      </c>
      <c r="K92" s="2" t="s">
        <v>1131</v>
      </c>
    </row>
    <row r="93" spans="1:11" x14ac:dyDescent="0.3">
      <c r="A93" s="1" t="str">
        <f t="shared" si="10"/>
        <v>15.03.2023</v>
      </c>
      <c r="B93" s="3" t="s">
        <v>1111</v>
      </c>
      <c r="C93" s="4"/>
      <c r="D93" s="4"/>
      <c r="E93" s="4"/>
      <c r="F93" s="4"/>
      <c r="G93" s="1">
        <v>4</v>
      </c>
      <c r="H93" s="20" t="s">
        <v>1125</v>
      </c>
      <c r="I93" s="4" t="s">
        <v>261</v>
      </c>
      <c r="J93" s="22" t="s">
        <v>1117</v>
      </c>
      <c r="K93" s="2" t="s">
        <v>1134</v>
      </c>
    </row>
    <row r="94" spans="1:11" x14ac:dyDescent="0.3">
      <c r="A94" s="1" t="str">
        <f t="shared" si="10"/>
        <v>15.03.2023</v>
      </c>
      <c r="B94" s="3" t="s">
        <v>1111</v>
      </c>
      <c r="C94" s="4"/>
      <c r="D94" s="4"/>
      <c r="E94" s="4"/>
      <c r="F94" s="4"/>
      <c r="G94" s="1">
        <v>5</v>
      </c>
      <c r="H94" s="20" t="s">
        <v>1126</v>
      </c>
      <c r="I94" s="20" t="s">
        <v>956</v>
      </c>
      <c r="J94" s="22" t="s">
        <v>1118</v>
      </c>
      <c r="K94" s="2" t="s">
        <v>1132</v>
      </c>
    </row>
    <row r="95" spans="1:11" x14ac:dyDescent="0.3">
      <c r="A95" s="1" t="str">
        <f t="shared" si="10"/>
        <v>15.03.2023</v>
      </c>
      <c r="B95" s="3" t="s">
        <v>1111</v>
      </c>
      <c r="C95" s="4"/>
      <c r="D95" s="4"/>
      <c r="E95" s="4"/>
      <c r="F95" s="4"/>
      <c r="G95" s="1">
        <v>6</v>
      </c>
      <c r="H95" s="20" t="s">
        <v>1127</v>
      </c>
      <c r="I95" s="20" t="s">
        <v>1119</v>
      </c>
      <c r="J95" s="22" t="s">
        <v>1120</v>
      </c>
      <c r="K95" s="2" t="s">
        <v>1135</v>
      </c>
    </row>
    <row r="96" spans="1:11" x14ac:dyDescent="0.3">
      <c r="A96" s="1" t="str">
        <f t="shared" si="10"/>
        <v>15.03.2023</v>
      </c>
      <c r="B96" s="3" t="s">
        <v>1111</v>
      </c>
      <c r="C96" s="4"/>
      <c r="D96" s="4"/>
      <c r="E96" s="4"/>
      <c r="F96" s="4"/>
      <c r="G96" s="1">
        <v>7</v>
      </c>
      <c r="H96" s="20" t="s">
        <v>1128</v>
      </c>
      <c r="I96" s="4" t="s">
        <v>1032</v>
      </c>
      <c r="J96" s="22" t="s">
        <v>1121</v>
      </c>
      <c r="K96" s="2" t="s">
        <v>1133</v>
      </c>
    </row>
    <row r="97" spans="1:12" x14ac:dyDescent="0.3">
      <c r="A97" s="5" t="str">
        <f>"15.12.2022"</f>
        <v>15.12.2022</v>
      </c>
      <c r="B97" s="3" t="s">
        <v>1088</v>
      </c>
      <c r="C97" s="4" t="s">
        <v>1109</v>
      </c>
      <c r="D97" s="4" t="s">
        <v>1110</v>
      </c>
      <c r="E97" s="4"/>
      <c r="F97" s="4"/>
      <c r="G97" s="1">
        <v>1</v>
      </c>
      <c r="H97" s="4" t="s">
        <v>1089</v>
      </c>
      <c r="I97" s="4" t="s">
        <v>897</v>
      </c>
      <c r="J97" s="13" t="s">
        <v>1090</v>
      </c>
      <c r="K97" t="s">
        <v>1103</v>
      </c>
    </row>
    <row r="98" spans="1:12" x14ac:dyDescent="0.3">
      <c r="A98" s="5" t="str">
        <f t="shared" ref="A98:A103" si="11">"15.12.2022"</f>
        <v>15.12.2022</v>
      </c>
      <c r="B98" s="3" t="s">
        <v>1088</v>
      </c>
      <c r="C98" s="4"/>
      <c r="D98" s="4"/>
      <c r="E98" s="4"/>
      <c r="F98" s="4"/>
      <c r="G98" s="1">
        <v>2</v>
      </c>
      <c r="H98" s="4" t="s">
        <v>1092</v>
      </c>
      <c r="I98" s="4" t="s">
        <v>1091</v>
      </c>
      <c r="J98" s="13" t="s">
        <v>1093</v>
      </c>
      <c r="K98" t="s">
        <v>1104</v>
      </c>
    </row>
    <row r="99" spans="1:12" x14ac:dyDescent="0.3">
      <c r="A99" s="5" t="str">
        <f t="shared" si="11"/>
        <v>15.12.2022</v>
      </c>
      <c r="B99" s="3" t="s">
        <v>1088</v>
      </c>
      <c r="C99" s="4"/>
      <c r="D99" s="4"/>
      <c r="E99" s="4"/>
      <c r="F99" s="4"/>
      <c r="G99" s="1">
        <v>3</v>
      </c>
      <c r="H99" s="4" t="s">
        <v>1094</v>
      </c>
      <c r="I99" s="4" t="s">
        <v>1066</v>
      </c>
      <c r="J99" s="13" t="s">
        <v>1095</v>
      </c>
      <c r="K99" t="s">
        <v>1105</v>
      </c>
    </row>
    <row r="100" spans="1:12" x14ac:dyDescent="0.3">
      <c r="A100" s="5" t="str">
        <f t="shared" si="11"/>
        <v>15.12.2022</v>
      </c>
      <c r="B100" s="3" t="s">
        <v>1088</v>
      </c>
      <c r="C100" s="4"/>
      <c r="D100" s="4"/>
      <c r="E100" s="4"/>
      <c r="F100" s="4"/>
      <c r="G100" s="1">
        <v>4</v>
      </c>
      <c r="H100" s="4" t="s">
        <v>1097</v>
      </c>
      <c r="I100" s="4" t="s">
        <v>261</v>
      </c>
      <c r="J100" s="13" t="s">
        <v>1096</v>
      </c>
      <c r="K100" t="s">
        <v>1106</v>
      </c>
    </row>
    <row r="101" spans="1:12" x14ac:dyDescent="0.3">
      <c r="A101" s="5" t="str">
        <f t="shared" si="11"/>
        <v>15.12.2022</v>
      </c>
      <c r="B101" s="3" t="s">
        <v>1088</v>
      </c>
      <c r="C101" s="4"/>
      <c r="D101" s="4"/>
      <c r="E101" s="4"/>
      <c r="F101" s="4"/>
      <c r="G101" s="1">
        <v>5</v>
      </c>
      <c r="H101" s="4" t="s">
        <v>1098</v>
      </c>
      <c r="I101" s="4" t="s">
        <v>1099</v>
      </c>
      <c r="J101" s="13" t="s">
        <v>1100</v>
      </c>
      <c r="K101" t="s">
        <v>1107</v>
      </c>
    </row>
    <row r="102" spans="1:12" x14ac:dyDescent="0.3">
      <c r="A102" s="5" t="str">
        <f t="shared" si="11"/>
        <v>15.12.2022</v>
      </c>
      <c r="B102" s="3" t="s">
        <v>1088</v>
      </c>
      <c r="C102" s="4"/>
      <c r="D102" s="4"/>
      <c r="E102" s="4"/>
      <c r="F102" s="4"/>
      <c r="G102" s="1">
        <v>6</v>
      </c>
      <c r="H102" s="18" t="s">
        <v>180</v>
      </c>
      <c r="I102" s="4" t="s">
        <v>73</v>
      </c>
      <c r="J102" s="13" t="s">
        <v>1101</v>
      </c>
      <c r="K102" t="s">
        <v>1108</v>
      </c>
    </row>
    <row r="103" spans="1:12" x14ac:dyDescent="0.3">
      <c r="A103" s="5" t="str">
        <f t="shared" si="11"/>
        <v>15.12.2022</v>
      </c>
      <c r="B103" s="3" t="s">
        <v>1088</v>
      </c>
      <c r="C103" s="4"/>
      <c r="D103" s="4"/>
      <c r="E103" s="4"/>
      <c r="F103" s="4"/>
      <c r="G103" s="1">
        <v>7</v>
      </c>
      <c r="H103" s="4" t="s">
        <v>1102</v>
      </c>
      <c r="I103" s="4" t="s">
        <v>810</v>
      </c>
      <c r="J103" s="13" t="s">
        <v>1101</v>
      </c>
      <c r="K103" s="2"/>
    </row>
    <row r="104" spans="1:12" x14ac:dyDescent="0.3">
      <c r="A104" s="5" t="str">
        <f t="shared" ref="A104:A109" si="12">"08.12.2022"</f>
        <v>08.12.2022</v>
      </c>
      <c r="B104" s="3" t="s">
        <v>1087</v>
      </c>
      <c r="C104" s="4" t="s">
        <v>1051</v>
      </c>
      <c r="D104" s="4" t="s">
        <v>1052</v>
      </c>
      <c r="E104" s="4"/>
      <c r="F104" s="4"/>
      <c r="G104" s="1">
        <v>1</v>
      </c>
      <c r="H104" t="s">
        <v>1053</v>
      </c>
      <c r="I104" s="4" t="s">
        <v>837</v>
      </c>
      <c r="J104" s="21" t="s">
        <v>1054</v>
      </c>
      <c r="K104" s="2" t="s">
        <v>1055</v>
      </c>
    </row>
    <row r="105" spans="1:12" x14ac:dyDescent="0.3">
      <c r="A105" s="5" t="str">
        <f t="shared" si="12"/>
        <v>08.12.2022</v>
      </c>
      <c r="B105" s="3" t="s">
        <v>1087</v>
      </c>
      <c r="C105" s="4"/>
      <c r="D105" s="4"/>
      <c r="E105" s="4"/>
      <c r="F105" s="4"/>
      <c r="G105" s="1">
        <v>2</v>
      </c>
      <c r="H105" t="s">
        <v>1056</v>
      </c>
      <c r="I105" s="4" t="s">
        <v>1057</v>
      </c>
      <c r="J105" s="21" t="s">
        <v>1058</v>
      </c>
      <c r="K105" s="2" t="s">
        <v>1059</v>
      </c>
    </row>
    <row r="106" spans="1:12" x14ac:dyDescent="0.3">
      <c r="A106" s="5" t="str">
        <f t="shared" si="12"/>
        <v>08.12.2022</v>
      </c>
      <c r="B106" s="3" t="s">
        <v>1087</v>
      </c>
      <c r="C106" s="4"/>
      <c r="D106" s="4"/>
      <c r="E106" s="4"/>
      <c r="F106" s="4"/>
      <c r="G106" s="1">
        <v>3</v>
      </c>
      <c r="H106" t="s">
        <v>1060</v>
      </c>
      <c r="I106" s="4" t="s">
        <v>1032</v>
      </c>
      <c r="J106" s="21" t="s">
        <v>1061</v>
      </c>
      <c r="K106" s="2" t="s">
        <v>1062</v>
      </c>
    </row>
    <row r="107" spans="1:12" x14ac:dyDescent="0.3">
      <c r="A107" s="5" t="str">
        <f t="shared" si="12"/>
        <v>08.12.2022</v>
      </c>
      <c r="B107" s="3" t="s">
        <v>1087</v>
      </c>
      <c r="C107" s="4"/>
      <c r="D107" s="4"/>
      <c r="E107" s="4"/>
      <c r="F107" s="4"/>
      <c r="G107" s="1">
        <v>4</v>
      </c>
      <c r="H107" t="s">
        <v>448</v>
      </c>
      <c r="I107" s="4" t="s">
        <v>1032</v>
      </c>
      <c r="J107" s="21" t="s">
        <v>1063</v>
      </c>
      <c r="K107" s="2"/>
      <c r="L107" s="7" t="s">
        <v>1064</v>
      </c>
    </row>
    <row r="108" spans="1:12" x14ac:dyDescent="0.3">
      <c r="A108" s="5" t="str">
        <f t="shared" si="12"/>
        <v>08.12.2022</v>
      </c>
      <c r="B108" s="3" t="s">
        <v>1087</v>
      </c>
      <c r="C108" s="4"/>
      <c r="D108" s="4"/>
      <c r="E108" s="4"/>
      <c r="F108" s="4"/>
      <c r="G108" s="1">
        <v>5</v>
      </c>
      <c r="H108" t="s">
        <v>1065</v>
      </c>
      <c r="I108" s="4" t="s">
        <v>1066</v>
      </c>
      <c r="J108" s="21" t="s">
        <v>1067</v>
      </c>
      <c r="K108" s="2" t="s">
        <v>1068</v>
      </c>
    </row>
    <row r="109" spans="1:12" x14ac:dyDescent="0.3">
      <c r="A109" s="5" t="str">
        <f t="shared" si="12"/>
        <v>08.12.2022</v>
      </c>
      <c r="B109" s="3" t="s">
        <v>1087</v>
      </c>
      <c r="C109" s="4"/>
      <c r="D109" s="4"/>
      <c r="E109" s="4"/>
      <c r="F109" s="4"/>
      <c r="G109" s="1">
        <v>6</v>
      </c>
      <c r="H109" t="s">
        <v>1069</v>
      </c>
      <c r="I109" t="s">
        <v>1070</v>
      </c>
      <c r="J109" s="21" t="s">
        <v>1071</v>
      </c>
      <c r="K109" s="2" t="s">
        <v>1072</v>
      </c>
    </row>
    <row r="110" spans="1:12" x14ac:dyDescent="0.3">
      <c r="A110" s="5" t="str">
        <f>"30.11.2022"</f>
        <v>30.11.2022</v>
      </c>
      <c r="B110" s="3" t="s">
        <v>1073</v>
      </c>
      <c r="C110" s="4" t="s">
        <v>1086</v>
      </c>
      <c r="D110" s="4"/>
      <c r="E110" s="4"/>
      <c r="F110" s="4"/>
      <c r="G110" s="1">
        <v>1</v>
      </c>
      <c r="H110" s="8" t="s">
        <v>991</v>
      </c>
      <c r="I110" s="4" t="s">
        <v>1032</v>
      </c>
      <c r="J110" s="21" t="s">
        <v>1074</v>
      </c>
      <c r="K110" s="2"/>
    </row>
    <row r="111" spans="1:12" x14ac:dyDescent="0.3">
      <c r="A111" s="5" t="str">
        <f>"30.11.2022"</f>
        <v>30.11.2022</v>
      </c>
      <c r="B111" s="3" t="s">
        <v>1073</v>
      </c>
      <c r="C111" s="4"/>
      <c r="D111" s="4"/>
      <c r="E111" s="4"/>
      <c r="F111" s="4"/>
      <c r="G111" s="1">
        <v>2</v>
      </c>
      <c r="H111" t="s">
        <v>1076</v>
      </c>
      <c r="I111" s="4" t="s">
        <v>1077</v>
      </c>
      <c r="J111" s="21" t="s">
        <v>1075</v>
      </c>
      <c r="K111" s="2"/>
    </row>
    <row r="112" spans="1:12" x14ac:dyDescent="0.3">
      <c r="A112" s="5" t="str">
        <f t="shared" ref="A112:A114" si="13">"30.11.2022"</f>
        <v>30.11.2022</v>
      </c>
      <c r="B112" s="3" t="s">
        <v>1073</v>
      </c>
      <c r="C112" s="4"/>
      <c r="D112" s="4"/>
      <c r="E112" s="4"/>
      <c r="F112" s="4"/>
      <c r="G112" s="1">
        <v>3</v>
      </c>
      <c r="H112" t="s">
        <v>1079</v>
      </c>
      <c r="I112" s="4" t="s">
        <v>897</v>
      </c>
      <c r="J112" s="21" t="s">
        <v>1078</v>
      </c>
      <c r="K112" s="2"/>
    </row>
    <row r="113" spans="1:11" x14ac:dyDescent="0.3">
      <c r="A113" s="5" t="str">
        <f t="shared" si="13"/>
        <v>30.11.2022</v>
      </c>
      <c r="B113" s="3" t="s">
        <v>1073</v>
      </c>
      <c r="C113" s="4"/>
      <c r="D113" s="4"/>
      <c r="E113" s="4"/>
      <c r="F113" s="4"/>
      <c r="G113" s="1">
        <v>4</v>
      </c>
      <c r="H113" t="s">
        <v>1081</v>
      </c>
      <c r="I113" s="4" t="s">
        <v>1082</v>
      </c>
      <c r="J113" s="21" t="s">
        <v>1080</v>
      </c>
      <c r="K113" s="2"/>
    </row>
    <row r="114" spans="1:11" x14ac:dyDescent="0.3">
      <c r="A114" s="5" t="str">
        <f t="shared" si="13"/>
        <v>30.11.2022</v>
      </c>
      <c r="B114" s="3" t="s">
        <v>1073</v>
      </c>
      <c r="C114" s="4"/>
      <c r="D114" s="4"/>
      <c r="E114" s="4"/>
      <c r="F114" s="4"/>
      <c r="G114" s="1">
        <v>5</v>
      </c>
      <c r="H114" t="s">
        <v>1084</v>
      </c>
      <c r="I114" s="4" t="s">
        <v>1085</v>
      </c>
      <c r="J114" s="21" t="s">
        <v>1083</v>
      </c>
      <c r="K114" s="2"/>
    </row>
    <row r="115" spans="1:11" x14ac:dyDescent="0.3">
      <c r="A115" s="17" t="str">
        <f t="shared" ref="A115:A120" si="14">"15.07.2022"</f>
        <v>15.07.2022</v>
      </c>
      <c r="B115" s="14" t="s">
        <v>1027</v>
      </c>
      <c r="C115" s="4" t="s">
        <v>1039</v>
      </c>
      <c r="D115" s="4"/>
      <c r="E115" s="4"/>
      <c r="F115" s="4"/>
      <c r="G115" s="1">
        <v>1</v>
      </c>
      <c r="H115" s="4" t="s">
        <v>482</v>
      </c>
      <c r="I115" s="4" t="s">
        <v>897</v>
      </c>
      <c r="J115" s="13" t="s">
        <v>35</v>
      </c>
      <c r="K115" s="2" t="s">
        <v>1028</v>
      </c>
    </row>
    <row r="116" spans="1:11" x14ac:dyDescent="0.3">
      <c r="A116" s="17" t="str">
        <f t="shared" si="14"/>
        <v>15.07.2022</v>
      </c>
      <c r="B116" s="14" t="s">
        <v>1027</v>
      </c>
      <c r="C116" s="4"/>
      <c r="D116" s="4"/>
      <c r="E116" s="4"/>
      <c r="F116" s="4"/>
      <c r="G116" s="1">
        <v>2</v>
      </c>
      <c r="H116" s="4" t="s">
        <v>1040</v>
      </c>
      <c r="I116" s="4" t="s">
        <v>1035</v>
      </c>
      <c r="J116" s="13" t="s">
        <v>1036</v>
      </c>
      <c r="K116" s="2" t="s">
        <v>234</v>
      </c>
    </row>
    <row r="117" spans="1:11" x14ac:dyDescent="0.3">
      <c r="A117" s="17" t="str">
        <f t="shared" si="14"/>
        <v>15.07.2022</v>
      </c>
      <c r="B117" s="14" t="s">
        <v>1027</v>
      </c>
      <c r="C117" s="4"/>
      <c r="D117" s="4"/>
      <c r="E117" s="4"/>
      <c r="F117" s="4"/>
      <c r="G117" s="1">
        <v>3</v>
      </c>
      <c r="H117" s="4" t="s">
        <v>1041</v>
      </c>
      <c r="I117" s="4" t="s">
        <v>897</v>
      </c>
      <c r="J117" s="13" t="s">
        <v>1037</v>
      </c>
      <c r="K117" s="2" t="s">
        <v>1038</v>
      </c>
    </row>
    <row r="118" spans="1:11" x14ac:dyDescent="0.3">
      <c r="A118" s="17" t="str">
        <f t="shared" si="14"/>
        <v>15.07.2022</v>
      </c>
      <c r="B118" s="14" t="s">
        <v>1027</v>
      </c>
      <c r="C118" s="4"/>
      <c r="D118" s="4"/>
      <c r="E118" s="4"/>
      <c r="F118" s="4"/>
      <c r="G118" s="1">
        <v>4</v>
      </c>
      <c r="H118" s="4" t="s">
        <v>1042</v>
      </c>
      <c r="I118" s="4" t="s">
        <v>1032</v>
      </c>
      <c r="J118" s="13" t="s">
        <v>1033</v>
      </c>
      <c r="K118" s="2" t="s">
        <v>1034</v>
      </c>
    </row>
    <row r="119" spans="1:11" x14ac:dyDescent="0.3">
      <c r="A119" s="17" t="str">
        <f t="shared" si="14"/>
        <v>15.07.2022</v>
      </c>
      <c r="B119" s="14" t="s">
        <v>1027</v>
      </c>
      <c r="C119" s="4"/>
      <c r="D119" s="4"/>
      <c r="E119" s="4"/>
      <c r="F119" s="4"/>
      <c r="G119" s="1">
        <v>5</v>
      </c>
      <c r="H119" s="4" t="s">
        <v>1043</v>
      </c>
      <c r="I119" s="4" t="s">
        <v>1029</v>
      </c>
      <c r="J119" s="13" t="s">
        <v>1030</v>
      </c>
      <c r="K119" s="2" t="s">
        <v>1031</v>
      </c>
    </row>
    <row r="120" spans="1:11" x14ac:dyDescent="0.3">
      <c r="A120" s="17" t="str">
        <f t="shared" si="14"/>
        <v>15.07.2022</v>
      </c>
      <c r="B120" s="14" t="s">
        <v>1027</v>
      </c>
      <c r="C120" s="4"/>
      <c r="D120" s="4"/>
      <c r="E120" s="4"/>
      <c r="F120" s="4"/>
      <c r="G120" s="1">
        <v>6</v>
      </c>
      <c r="H120" s="4" t="s">
        <v>1044</v>
      </c>
      <c r="I120" s="7"/>
      <c r="J120" s="14" t="s">
        <v>1045</v>
      </c>
      <c r="K120" s="2"/>
    </row>
    <row r="121" spans="1:11" x14ac:dyDescent="0.3">
      <c r="A121" s="17" t="str">
        <f>"23.06.2022"</f>
        <v>23.06.2022</v>
      </c>
      <c r="B121" s="3" t="s">
        <v>998</v>
      </c>
      <c r="C121" s="4" t="s">
        <v>1025</v>
      </c>
      <c r="D121" s="4"/>
      <c r="E121" s="4"/>
      <c r="F121" s="4"/>
      <c r="G121" s="1">
        <v>1</v>
      </c>
      <c r="H121" s="4" t="s">
        <v>209</v>
      </c>
      <c r="I121" s="4" t="s">
        <v>999</v>
      </c>
      <c r="J121" s="13" t="s">
        <v>35</v>
      </c>
      <c r="K121" s="2"/>
    </row>
    <row r="122" spans="1:11" x14ac:dyDescent="0.3">
      <c r="A122" s="17" t="str">
        <f t="shared" ref="A122:A128" si="15">"23.06.2022"</f>
        <v>23.06.2022</v>
      </c>
      <c r="B122" s="3" t="s">
        <v>998</v>
      </c>
      <c r="C122" s="4"/>
      <c r="D122" s="4"/>
      <c r="E122" s="4"/>
      <c r="F122" s="4"/>
      <c r="G122" s="1">
        <v>2</v>
      </c>
      <c r="H122" s="4" t="s">
        <v>1000</v>
      </c>
      <c r="I122" s="4" t="s">
        <v>1001</v>
      </c>
      <c r="J122" s="13" t="s">
        <v>1026</v>
      </c>
      <c r="K122" s="2"/>
    </row>
    <row r="123" spans="1:11" x14ac:dyDescent="0.3">
      <c r="A123" s="17" t="str">
        <f t="shared" si="15"/>
        <v>23.06.2022</v>
      </c>
      <c r="B123" s="3" t="s">
        <v>998</v>
      </c>
      <c r="C123" s="4"/>
      <c r="D123" s="4"/>
      <c r="E123" s="4"/>
      <c r="F123" s="4"/>
      <c r="G123" s="1">
        <v>3</v>
      </c>
      <c r="H123" s="4" t="s">
        <v>1002</v>
      </c>
      <c r="I123" s="4" t="s">
        <v>1003</v>
      </c>
      <c r="J123" s="13" t="s">
        <v>1004</v>
      </c>
      <c r="K123" s="2" t="s">
        <v>1020</v>
      </c>
    </row>
    <row r="124" spans="1:11" x14ac:dyDescent="0.3">
      <c r="A124" s="17" t="str">
        <f t="shared" si="15"/>
        <v>23.06.2022</v>
      </c>
      <c r="B124" s="3" t="s">
        <v>998</v>
      </c>
      <c r="C124" s="4"/>
      <c r="D124" s="4"/>
      <c r="E124" s="4"/>
      <c r="F124" s="4"/>
      <c r="G124" s="1">
        <v>4</v>
      </c>
      <c r="H124" s="4" t="s">
        <v>1005</v>
      </c>
      <c r="I124" s="4" t="s">
        <v>1006</v>
      </c>
      <c r="J124" s="13" t="s">
        <v>1007</v>
      </c>
      <c r="K124" s="2" t="s">
        <v>1023</v>
      </c>
    </row>
    <row r="125" spans="1:11" x14ac:dyDescent="0.3">
      <c r="A125" s="17" t="str">
        <f t="shared" si="15"/>
        <v>23.06.2022</v>
      </c>
      <c r="B125" s="3" t="s">
        <v>998</v>
      </c>
      <c r="C125" s="4"/>
      <c r="D125" s="4"/>
      <c r="E125" s="4"/>
      <c r="F125" s="4"/>
      <c r="G125" s="1">
        <v>5</v>
      </c>
      <c r="H125" s="4" t="s">
        <v>1008</v>
      </c>
      <c r="I125" s="4" t="s">
        <v>1009</v>
      </c>
      <c r="J125" s="13" t="s">
        <v>1010</v>
      </c>
      <c r="K125" s="2" t="s">
        <v>1021</v>
      </c>
    </row>
    <row r="126" spans="1:11" x14ac:dyDescent="0.3">
      <c r="A126" s="17" t="str">
        <f t="shared" si="15"/>
        <v>23.06.2022</v>
      </c>
      <c r="B126" s="3" t="s">
        <v>998</v>
      </c>
      <c r="C126" s="4"/>
      <c r="D126" s="4"/>
      <c r="E126" s="4"/>
      <c r="F126" s="4"/>
      <c r="G126" s="1">
        <v>6</v>
      </c>
      <c r="H126" s="4" t="s">
        <v>1011</v>
      </c>
      <c r="I126" s="4" t="s">
        <v>1012</v>
      </c>
      <c r="J126" s="13" t="s">
        <v>1013</v>
      </c>
      <c r="K126" s="2" t="s">
        <v>1024</v>
      </c>
    </row>
    <row r="127" spans="1:11" x14ac:dyDescent="0.3">
      <c r="A127" s="17" t="str">
        <f t="shared" si="15"/>
        <v>23.06.2022</v>
      </c>
      <c r="B127" s="3" t="s">
        <v>998</v>
      </c>
      <c r="C127" s="4"/>
      <c r="D127" s="4"/>
      <c r="E127" s="4"/>
      <c r="F127" s="4"/>
      <c r="G127" s="1">
        <v>7</v>
      </c>
      <c r="H127" s="4" t="s">
        <v>1014</v>
      </c>
      <c r="I127" s="4" t="s">
        <v>1015</v>
      </c>
      <c r="J127" s="13" t="s">
        <v>1016</v>
      </c>
      <c r="K127" s="2" t="s">
        <v>1022</v>
      </c>
    </row>
    <row r="128" spans="1:11" x14ac:dyDescent="0.3">
      <c r="A128" s="17" t="str">
        <f t="shared" si="15"/>
        <v>23.06.2022</v>
      </c>
      <c r="B128" s="3" t="s">
        <v>998</v>
      </c>
      <c r="C128" s="4"/>
      <c r="D128" s="4"/>
      <c r="E128" s="4"/>
      <c r="F128" s="4"/>
      <c r="G128" s="1">
        <v>8</v>
      </c>
      <c r="H128" s="4" t="s">
        <v>1017</v>
      </c>
      <c r="I128" s="4" t="s">
        <v>1018</v>
      </c>
      <c r="J128" s="13" t="s">
        <v>1019</v>
      </c>
      <c r="K128" s="2"/>
    </row>
    <row r="129" spans="1:11" x14ac:dyDescent="0.3">
      <c r="A129" s="5" t="str">
        <f>"24.05.2022"</f>
        <v>24.05.2022</v>
      </c>
      <c r="B129" s="3" t="s">
        <v>996</v>
      </c>
      <c r="C129" s="4" t="s">
        <v>994</v>
      </c>
      <c r="D129" s="4" t="s">
        <v>995</v>
      </c>
      <c r="E129" s="4"/>
      <c r="F129" s="4"/>
      <c r="G129" s="1">
        <v>1</v>
      </c>
      <c r="H129" s="4" t="s">
        <v>991</v>
      </c>
      <c r="I129" s="4" t="s">
        <v>66</v>
      </c>
      <c r="J129" s="13" t="s">
        <v>35</v>
      </c>
      <c r="K129" s="2"/>
    </row>
    <row r="130" spans="1:11" x14ac:dyDescent="0.3">
      <c r="A130" s="5" t="str">
        <f>"24.05.2022"</f>
        <v>24.05.2022</v>
      </c>
      <c r="B130" s="3"/>
      <c r="C130" s="4"/>
      <c r="D130" s="4"/>
      <c r="E130" s="4"/>
      <c r="F130" s="4"/>
      <c r="G130" s="1">
        <v>2</v>
      </c>
      <c r="H130" s="4" t="s">
        <v>992</v>
      </c>
      <c r="I130" s="4" t="s">
        <v>993</v>
      </c>
      <c r="J130" s="13" t="s">
        <v>990</v>
      </c>
      <c r="K130" s="2" t="s">
        <v>997</v>
      </c>
    </row>
    <row r="131" spans="1:11" x14ac:dyDescent="0.3">
      <c r="A131" s="5" t="s">
        <v>981</v>
      </c>
      <c r="B131" s="3" t="s">
        <v>982</v>
      </c>
      <c r="C131" s="4" t="s">
        <v>983</v>
      </c>
      <c r="D131" s="4" t="s">
        <v>988</v>
      </c>
      <c r="E131" s="4"/>
      <c r="F131" s="4"/>
      <c r="G131" s="1">
        <v>1</v>
      </c>
      <c r="H131" t="s">
        <v>984</v>
      </c>
      <c r="I131" s="4" t="s">
        <v>69</v>
      </c>
      <c r="J131" s="13" t="s">
        <v>35</v>
      </c>
      <c r="K131" s="2"/>
    </row>
    <row r="132" spans="1:11" x14ac:dyDescent="0.3">
      <c r="A132" s="5" t="s">
        <v>981</v>
      </c>
      <c r="B132" s="3"/>
      <c r="C132" s="4"/>
      <c r="D132" s="4"/>
      <c r="E132" s="4"/>
      <c r="F132" s="4"/>
      <c r="G132" s="1">
        <v>2</v>
      </c>
      <c r="H132" s="4" t="s">
        <v>989</v>
      </c>
      <c r="I132" s="4" t="s">
        <v>985</v>
      </c>
      <c r="J132" s="13" t="s">
        <v>982</v>
      </c>
      <c r="K132" s="2" t="s">
        <v>986</v>
      </c>
    </row>
    <row r="133" spans="1:11" x14ac:dyDescent="0.3">
      <c r="A133" s="5" t="str">
        <f>"21.02.2022"</f>
        <v>21.02.2022</v>
      </c>
      <c r="B133" s="3" t="s">
        <v>971</v>
      </c>
      <c r="C133" s="4" t="s">
        <v>972</v>
      </c>
      <c r="D133" s="4"/>
      <c r="E133" s="4"/>
      <c r="F133" s="4"/>
      <c r="G133" s="1">
        <v>1</v>
      </c>
      <c r="H133" s="4" t="s">
        <v>974</v>
      </c>
      <c r="I133" s="4" t="s">
        <v>69</v>
      </c>
      <c r="J133" s="13" t="s">
        <v>971</v>
      </c>
      <c r="K133" s="2" t="s">
        <v>973</v>
      </c>
    </row>
    <row r="134" spans="1:11" x14ac:dyDescent="0.3">
      <c r="A134" s="5" t="str">
        <f t="shared" ref="A134:A136" si="16">"21.02.2022"</f>
        <v>21.02.2022</v>
      </c>
      <c r="B134" s="3"/>
      <c r="C134" s="4"/>
      <c r="D134" s="4"/>
      <c r="E134" s="4"/>
      <c r="F134" s="4"/>
      <c r="G134" s="1">
        <v>2</v>
      </c>
      <c r="H134" s="4" t="s">
        <v>974</v>
      </c>
      <c r="I134" s="4" t="s">
        <v>69</v>
      </c>
      <c r="J134" s="13" t="s">
        <v>976</v>
      </c>
      <c r="K134" s="2" t="s">
        <v>975</v>
      </c>
    </row>
    <row r="135" spans="1:11" x14ac:dyDescent="0.3">
      <c r="A135" s="5" t="str">
        <f t="shared" si="16"/>
        <v>21.02.2022</v>
      </c>
      <c r="B135" s="3"/>
      <c r="C135" s="4"/>
      <c r="D135" s="4"/>
      <c r="E135" s="4"/>
      <c r="F135" s="4"/>
      <c r="G135" s="1">
        <v>3</v>
      </c>
      <c r="H135" s="4" t="s">
        <v>974</v>
      </c>
      <c r="I135" s="4" t="s">
        <v>69</v>
      </c>
      <c r="J135" s="13" t="s">
        <v>979</v>
      </c>
      <c r="K135" s="2" t="s">
        <v>977</v>
      </c>
    </row>
    <row r="136" spans="1:11" x14ac:dyDescent="0.3">
      <c r="A136" s="5" t="str">
        <f t="shared" si="16"/>
        <v>21.02.2022</v>
      </c>
      <c r="B136" s="3"/>
      <c r="C136" s="4"/>
      <c r="D136" s="4"/>
      <c r="E136" s="4"/>
      <c r="F136" s="4"/>
      <c r="G136" s="1">
        <v>4</v>
      </c>
      <c r="H136" s="4" t="s">
        <v>974</v>
      </c>
      <c r="I136" s="4" t="s">
        <v>69</v>
      </c>
      <c r="J136" s="13" t="s">
        <v>980</v>
      </c>
      <c r="K136" s="2" t="s">
        <v>978</v>
      </c>
    </row>
    <row r="137" spans="1:11" ht="72" x14ac:dyDescent="0.3">
      <c r="A137" s="9" t="str">
        <f>"27.07.2021"</f>
        <v>27.07.2021</v>
      </c>
      <c r="B137" s="12" t="s">
        <v>9</v>
      </c>
      <c r="C137" s="11" t="s">
        <v>8</v>
      </c>
      <c r="D137" s="11"/>
      <c r="E137" s="11"/>
      <c r="F137" s="11"/>
      <c r="G137" s="3">
        <v>1</v>
      </c>
      <c r="H137" s="4" t="s">
        <v>120</v>
      </c>
      <c r="I137" s="4" t="s">
        <v>66</v>
      </c>
      <c r="J137" s="1" t="s">
        <v>35</v>
      </c>
      <c r="K137" s="15"/>
    </row>
    <row r="138" spans="1:11" x14ac:dyDescent="0.3">
      <c r="A138" s="9" t="str">
        <f t="shared" ref="A138:A141" si="17">"27.07.2021"</f>
        <v>27.07.2021</v>
      </c>
      <c r="B138" s="12"/>
      <c r="C138" s="11"/>
      <c r="D138" s="11"/>
      <c r="E138" s="11"/>
      <c r="F138" s="11"/>
      <c r="G138" s="3">
        <v>2</v>
      </c>
      <c r="H138" s="4" t="s">
        <v>10</v>
      </c>
      <c r="I138" s="4" t="s">
        <v>13</v>
      </c>
      <c r="J138" s="1" t="s">
        <v>18</v>
      </c>
      <c r="K138" s="15" t="s">
        <v>22</v>
      </c>
    </row>
    <row r="139" spans="1:11" x14ac:dyDescent="0.3">
      <c r="A139" s="9" t="str">
        <f t="shared" si="17"/>
        <v>27.07.2021</v>
      </c>
      <c r="B139" s="12"/>
      <c r="C139" s="11"/>
      <c r="D139" s="11"/>
      <c r="E139" s="11"/>
      <c r="F139" s="11"/>
      <c r="G139" s="3">
        <v>3</v>
      </c>
      <c r="H139" s="4" t="s">
        <v>11</v>
      </c>
      <c r="I139" s="4" t="s">
        <v>14</v>
      </c>
      <c r="J139" s="1" t="s">
        <v>19</v>
      </c>
      <c r="K139" s="15" t="s">
        <v>23</v>
      </c>
    </row>
    <row r="140" spans="1:11" x14ac:dyDescent="0.3">
      <c r="A140" s="9" t="str">
        <f t="shared" si="17"/>
        <v>27.07.2021</v>
      </c>
      <c r="B140" s="12"/>
      <c r="C140" s="11"/>
      <c r="D140" s="11"/>
      <c r="E140" s="11"/>
      <c r="F140" s="11"/>
      <c r="G140" s="3">
        <v>4</v>
      </c>
      <c r="H140" s="4" t="s">
        <v>12</v>
      </c>
      <c r="I140" s="4" t="s">
        <v>15</v>
      </c>
      <c r="J140" s="1" t="s">
        <v>20</v>
      </c>
      <c r="K140" s="15" t="s">
        <v>24</v>
      </c>
    </row>
    <row r="141" spans="1:11" x14ac:dyDescent="0.3">
      <c r="A141" s="9" t="str">
        <f t="shared" si="17"/>
        <v>27.07.2021</v>
      </c>
      <c r="B141" s="12"/>
      <c r="C141" s="11"/>
      <c r="D141" s="11"/>
      <c r="E141" s="11"/>
      <c r="F141" s="11"/>
      <c r="G141" s="3">
        <v>5</v>
      </c>
      <c r="H141" s="4" t="s">
        <v>16</v>
      </c>
      <c r="I141" s="4" t="s">
        <v>17</v>
      </c>
      <c r="J141" s="1" t="s">
        <v>21</v>
      </c>
      <c r="K141" s="15" t="s">
        <v>25</v>
      </c>
    </row>
    <row r="142" spans="1:11" ht="28.8" x14ac:dyDescent="0.3">
      <c r="A142" s="9" t="str">
        <f>"28.06.2021"</f>
        <v>28.06.2021</v>
      </c>
      <c r="B142" s="12" t="s">
        <v>52</v>
      </c>
      <c r="C142" s="11" t="s">
        <v>28</v>
      </c>
      <c r="D142" s="11"/>
      <c r="E142" s="11"/>
      <c r="F142" s="11"/>
      <c r="G142" s="3">
        <v>1</v>
      </c>
      <c r="H142" s="4" t="s">
        <v>27</v>
      </c>
      <c r="I142" s="4" t="s">
        <v>34</v>
      </c>
      <c r="J142" s="1" t="s">
        <v>35</v>
      </c>
      <c r="K142" s="15" t="s">
        <v>53</v>
      </c>
    </row>
    <row r="143" spans="1:11" x14ac:dyDescent="0.3">
      <c r="A143" s="9" t="str">
        <f t="shared" ref="A143:A149" si="18">"28.06.2021"</f>
        <v>28.06.2021</v>
      </c>
      <c r="B143" s="12"/>
      <c r="C143" s="11"/>
      <c r="D143" s="11"/>
      <c r="E143" s="11"/>
      <c r="F143" s="11"/>
      <c r="G143" s="3">
        <v>2</v>
      </c>
      <c r="H143" s="4" t="s">
        <v>29</v>
      </c>
      <c r="I143" s="4" t="s">
        <v>30</v>
      </c>
      <c r="J143" s="1" t="s">
        <v>33</v>
      </c>
      <c r="K143" s="15" t="s">
        <v>54</v>
      </c>
    </row>
    <row r="144" spans="1:11" x14ac:dyDescent="0.3">
      <c r="A144" s="9" t="str">
        <f t="shared" si="18"/>
        <v>28.06.2021</v>
      </c>
      <c r="B144" s="12"/>
      <c r="C144" s="11"/>
      <c r="D144" s="11"/>
      <c r="E144" s="11"/>
      <c r="F144" s="11"/>
      <c r="G144" s="3">
        <v>3</v>
      </c>
      <c r="H144" s="4" t="s">
        <v>31</v>
      </c>
      <c r="I144" s="4" t="s">
        <v>32</v>
      </c>
      <c r="J144" s="1" t="s">
        <v>36</v>
      </c>
      <c r="K144" s="15" t="s">
        <v>55</v>
      </c>
    </row>
    <row r="145" spans="1:11" x14ac:dyDescent="0.3">
      <c r="A145" s="9" t="str">
        <f t="shared" si="18"/>
        <v>28.06.2021</v>
      </c>
      <c r="B145" s="12"/>
      <c r="C145" s="11"/>
      <c r="D145" s="11"/>
      <c r="E145" s="11"/>
      <c r="F145" s="11"/>
      <c r="G145" s="3">
        <v>4</v>
      </c>
      <c r="H145" s="4" t="s">
        <v>37</v>
      </c>
      <c r="I145" s="4" t="s">
        <v>38</v>
      </c>
      <c r="J145" s="1" t="s">
        <v>39</v>
      </c>
      <c r="K145" s="15" t="s">
        <v>56</v>
      </c>
    </row>
    <row r="146" spans="1:11" x14ac:dyDescent="0.3">
      <c r="A146" s="9" t="str">
        <f t="shared" si="18"/>
        <v>28.06.2021</v>
      </c>
      <c r="B146" s="12"/>
      <c r="C146" s="11"/>
      <c r="D146" s="11"/>
      <c r="E146" s="11"/>
      <c r="F146" s="11"/>
      <c r="G146" s="3">
        <v>5</v>
      </c>
      <c r="H146" s="4" t="s">
        <v>41</v>
      </c>
      <c r="I146" s="4" t="s">
        <v>42</v>
      </c>
      <c r="J146" s="1" t="s">
        <v>40</v>
      </c>
      <c r="K146" s="15" t="s">
        <v>57</v>
      </c>
    </row>
    <row r="147" spans="1:11" x14ac:dyDescent="0.3">
      <c r="A147" s="9" t="str">
        <f t="shared" si="18"/>
        <v>28.06.2021</v>
      </c>
      <c r="B147" s="12"/>
      <c r="C147" s="11"/>
      <c r="D147" s="11"/>
      <c r="E147" s="11"/>
      <c r="F147" s="11"/>
      <c r="G147" s="3">
        <v>6</v>
      </c>
      <c r="H147" s="4" t="s">
        <v>44</v>
      </c>
      <c r="I147" s="4" t="s">
        <v>45</v>
      </c>
      <c r="J147" s="1" t="s">
        <v>43</v>
      </c>
      <c r="K147" s="15" t="s">
        <v>58</v>
      </c>
    </row>
    <row r="148" spans="1:11" x14ac:dyDescent="0.3">
      <c r="A148" s="9" t="str">
        <f t="shared" si="18"/>
        <v>28.06.2021</v>
      </c>
      <c r="B148" s="12"/>
      <c r="C148" s="11"/>
      <c r="D148" s="11"/>
      <c r="E148" s="11"/>
      <c r="F148" s="11"/>
      <c r="G148" s="3">
        <v>7</v>
      </c>
      <c r="H148" s="4" t="s">
        <v>47</v>
      </c>
      <c r="I148" s="4" t="s">
        <v>48</v>
      </c>
      <c r="J148" s="1" t="s">
        <v>46</v>
      </c>
      <c r="K148" s="15" t="s">
        <v>59</v>
      </c>
    </row>
    <row r="149" spans="1:11" x14ac:dyDescent="0.3">
      <c r="A149" s="9" t="str">
        <f t="shared" si="18"/>
        <v>28.06.2021</v>
      </c>
      <c r="B149" s="12"/>
      <c r="C149" s="11"/>
      <c r="D149" s="11"/>
      <c r="E149" s="11"/>
      <c r="F149" s="11"/>
      <c r="G149" s="3">
        <v>8</v>
      </c>
      <c r="H149" s="4" t="s">
        <v>49</v>
      </c>
      <c r="I149" s="4" t="s">
        <v>51</v>
      </c>
      <c r="J149" s="1" t="s">
        <v>50</v>
      </c>
      <c r="K149" s="15" t="s">
        <v>60</v>
      </c>
    </row>
    <row r="150" spans="1:11" ht="86.4" x14ac:dyDescent="0.3">
      <c r="A150" s="9" t="str">
        <f>"16.06.2021"</f>
        <v>16.06.2021</v>
      </c>
      <c r="B150" s="12" t="s">
        <v>61</v>
      </c>
      <c r="C150" s="11" t="s">
        <v>62</v>
      </c>
      <c r="D150" s="11"/>
      <c r="E150" s="11"/>
      <c r="F150" s="11"/>
      <c r="G150" s="3">
        <v>1</v>
      </c>
      <c r="H150" s="4" t="s">
        <v>0</v>
      </c>
      <c r="I150" s="4" t="s">
        <v>64</v>
      </c>
      <c r="J150" s="1" t="s">
        <v>63</v>
      </c>
      <c r="K150" s="15" t="s">
        <v>74</v>
      </c>
    </row>
    <row r="151" spans="1:11" x14ac:dyDescent="0.3">
      <c r="A151" s="9" t="str">
        <f t="shared" ref="A151:A153" si="19">"16.06.2021"</f>
        <v>16.06.2021</v>
      </c>
      <c r="B151" s="12"/>
      <c r="C151" s="11"/>
      <c r="D151" s="11"/>
      <c r="E151" s="11"/>
      <c r="F151" s="11"/>
      <c r="G151" s="3">
        <v>2</v>
      </c>
      <c r="H151" s="4" t="s">
        <v>65</v>
      </c>
      <c r="I151" s="4" t="s">
        <v>66</v>
      </c>
      <c r="J151" s="1" t="s">
        <v>67</v>
      </c>
      <c r="K151" s="15" t="s">
        <v>75</v>
      </c>
    </row>
    <row r="152" spans="1:11" x14ac:dyDescent="0.3">
      <c r="A152" s="9" t="str">
        <f t="shared" si="19"/>
        <v>16.06.2021</v>
      </c>
      <c r="B152" s="12"/>
      <c r="C152" s="11"/>
      <c r="D152" s="11"/>
      <c r="E152" s="11"/>
      <c r="F152" s="11"/>
      <c r="G152" s="3">
        <v>3</v>
      </c>
      <c r="H152" s="4" t="s">
        <v>68</v>
      </c>
      <c r="I152" s="4" t="s">
        <v>69</v>
      </c>
      <c r="J152" s="1" t="s">
        <v>71</v>
      </c>
      <c r="K152" s="15" t="s">
        <v>76</v>
      </c>
    </row>
    <row r="153" spans="1:11" x14ac:dyDescent="0.3">
      <c r="A153" s="9" t="str">
        <f t="shared" si="19"/>
        <v>16.06.2021</v>
      </c>
      <c r="B153" s="12"/>
      <c r="C153" s="11"/>
      <c r="D153" s="11"/>
      <c r="E153" s="11"/>
      <c r="F153" s="11"/>
      <c r="G153" s="3">
        <v>4</v>
      </c>
      <c r="H153" s="4" t="s">
        <v>72</v>
      </c>
      <c r="I153" s="4" t="s">
        <v>73</v>
      </c>
      <c r="J153" s="1" t="s">
        <v>70</v>
      </c>
      <c r="K153" s="15" t="s">
        <v>77</v>
      </c>
    </row>
    <row r="154" spans="1:11" ht="57.6" x14ac:dyDescent="0.3">
      <c r="A154" s="9" t="str">
        <f>"22.03.2021"</f>
        <v>22.03.2021</v>
      </c>
      <c r="B154" s="12" t="s">
        <v>78</v>
      </c>
      <c r="C154" s="11" t="s">
        <v>79</v>
      </c>
      <c r="D154" s="11"/>
      <c r="E154" s="11"/>
      <c r="F154" s="11"/>
      <c r="G154" s="3">
        <v>1</v>
      </c>
      <c r="H154" s="4" t="s">
        <v>91</v>
      </c>
      <c r="I154" s="4" t="s">
        <v>92</v>
      </c>
      <c r="J154" s="1" t="s">
        <v>90</v>
      </c>
      <c r="K154" s="15" t="s">
        <v>80</v>
      </c>
    </row>
    <row r="155" spans="1:11" x14ac:dyDescent="0.3">
      <c r="A155" s="9" t="str">
        <f t="shared" ref="A155:A163" si="20">"22.03.2021"</f>
        <v>22.03.2021</v>
      </c>
      <c r="B155" s="12"/>
      <c r="C155" s="11"/>
      <c r="D155" s="11"/>
      <c r="E155" s="11"/>
      <c r="F155" s="11"/>
      <c r="G155" s="3">
        <v>2</v>
      </c>
      <c r="H155" s="4" t="s">
        <v>95</v>
      </c>
      <c r="I155" s="4" t="s">
        <v>94</v>
      </c>
      <c r="J155" s="1" t="s">
        <v>93</v>
      </c>
      <c r="K155" s="15" t="s">
        <v>81</v>
      </c>
    </row>
    <row r="156" spans="1:11" x14ac:dyDescent="0.3">
      <c r="A156" s="9" t="str">
        <f t="shared" si="20"/>
        <v>22.03.2021</v>
      </c>
      <c r="B156" s="12"/>
      <c r="C156" s="11"/>
      <c r="D156" s="11"/>
      <c r="E156" s="11"/>
      <c r="F156" s="11"/>
      <c r="G156" s="3">
        <v>3</v>
      </c>
      <c r="H156" s="4" t="s">
        <v>97</v>
      </c>
      <c r="I156" s="4" t="s">
        <v>98</v>
      </c>
      <c r="J156" s="1" t="s">
        <v>96</v>
      </c>
      <c r="K156" s="15" t="s">
        <v>82</v>
      </c>
    </row>
    <row r="157" spans="1:11" x14ac:dyDescent="0.3">
      <c r="A157" s="9" t="str">
        <f t="shared" si="20"/>
        <v>22.03.2021</v>
      </c>
      <c r="B157" s="12"/>
      <c r="C157" s="11"/>
      <c r="D157" s="11"/>
      <c r="E157" s="11"/>
      <c r="F157" s="11"/>
      <c r="G157" s="3">
        <v>4</v>
      </c>
      <c r="H157" s="4" t="s">
        <v>100</v>
      </c>
      <c r="I157" s="4" t="s">
        <v>101</v>
      </c>
      <c r="J157" s="1" t="s">
        <v>99</v>
      </c>
      <c r="K157" s="15" t="s">
        <v>83</v>
      </c>
    </row>
    <row r="158" spans="1:11" x14ac:dyDescent="0.3">
      <c r="A158" s="9" t="str">
        <f t="shared" si="20"/>
        <v>22.03.2021</v>
      </c>
      <c r="B158" s="12"/>
      <c r="C158" s="11"/>
      <c r="D158" s="11"/>
      <c r="E158" s="11"/>
      <c r="F158" s="11"/>
      <c r="G158" s="3">
        <v>5</v>
      </c>
      <c r="H158" s="4" t="s">
        <v>103</v>
      </c>
      <c r="I158" s="4" t="s">
        <v>30</v>
      </c>
      <c r="J158" s="1" t="s">
        <v>102</v>
      </c>
      <c r="K158" s="15" t="s">
        <v>84</v>
      </c>
    </row>
    <row r="159" spans="1:11" x14ac:dyDescent="0.3">
      <c r="A159" s="9" t="str">
        <f t="shared" si="20"/>
        <v>22.03.2021</v>
      </c>
      <c r="B159" s="12"/>
      <c r="C159" s="11"/>
      <c r="D159" s="11"/>
      <c r="E159" s="11"/>
      <c r="F159" s="11"/>
      <c r="G159" s="3">
        <v>6</v>
      </c>
      <c r="H159" s="4" t="s">
        <v>105</v>
      </c>
      <c r="I159" s="4" t="s">
        <v>92</v>
      </c>
      <c r="J159" s="1" t="s">
        <v>104</v>
      </c>
      <c r="K159" s="15" t="s">
        <v>85</v>
      </c>
    </row>
    <row r="160" spans="1:11" x14ac:dyDescent="0.3">
      <c r="A160" s="9" t="str">
        <f t="shared" si="20"/>
        <v>22.03.2021</v>
      </c>
      <c r="B160" s="12"/>
      <c r="C160" s="11"/>
      <c r="D160" s="11"/>
      <c r="E160" s="11"/>
      <c r="F160" s="11"/>
      <c r="G160" s="3">
        <v>7</v>
      </c>
      <c r="H160" s="4" t="s">
        <v>108</v>
      </c>
      <c r="I160" s="4" t="s">
        <v>107</v>
      </c>
      <c r="J160" s="1" t="s">
        <v>106</v>
      </c>
      <c r="K160" s="15" t="s">
        <v>86</v>
      </c>
    </row>
    <row r="161" spans="1:11" x14ac:dyDescent="0.3">
      <c r="A161" s="9" t="str">
        <f t="shared" si="20"/>
        <v>22.03.2021</v>
      </c>
      <c r="B161" s="12"/>
      <c r="C161" s="11"/>
      <c r="D161" s="11"/>
      <c r="E161" s="11"/>
      <c r="F161" s="11"/>
      <c r="G161" s="3">
        <v>8</v>
      </c>
      <c r="H161" s="4" t="s">
        <v>111</v>
      </c>
      <c r="I161" s="4" t="s">
        <v>110</v>
      </c>
      <c r="J161" s="1" t="s">
        <v>109</v>
      </c>
      <c r="K161" s="15" t="s">
        <v>87</v>
      </c>
    </row>
    <row r="162" spans="1:11" x14ac:dyDescent="0.3">
      <c r="A162" s="9" t="str">
        <f t="shared" si="20"/>
        <v>22.03.2021</v>
      </c>
      <c r="B162" s="12"/>
      <c r="C162" s="11"/>
      <c r="D162" s="11"/>
      <c r="E162" s="11"/>
      <c r="F162" s="11"/>
      <c r="G162" s="3">
        <v>9</v>
      </c>
      <c r="H162" s="4" t="s">
        <v>113</v>
      </c>
      <c r="I162" s="4" t="s">
        <v>114</v>
      </c>
      <c r="J162" s="1" t="s">
        <v>112</v>
      </c>
      <c r="K162" s="15" t="s">
        <v>88</v>
      </c>
    </row>
    <row r="163" spans="1:11" x14ac:dyDescent="0.3">
      <c r="A163" s="9" t="str">
        <f t="shared" si="20"/>
        <v>22.03.2021</v>
      </c>
      <c r="B163" s="12"/>
      <c r="C163" s="11"/>
      <c r="D163" s="11"/>
      <c r="E163" s="11"/>
      <c r="F163" s="11"/>
      <c r="G163" s="3">
        <v>10</v>
      </c>
      <c r="H163" s="4" t="s">
        <v>116</v>
      </c>
      <c r="I163" s="4" t="s">
        <v>117</v>
      </c>
      <c r="J163" s="1" t="s">
        <v>115</v>
      </c>
      <c r="K163" s="15" t="s">
        <v>89</v>
      </c>
    </row>
    <row r="164" spans="1:11" ht="72" x14ac:dyDescent="0.3">
      <c r="A164" s="9" t="str">
        <f>"08.03.2021"</f>
        <v>08.03.2021</v>
      </c>
      <c r="B164" s="12" t="s">
        <v>118</v>
      </c>
      <c r="C164" s="11" t="s">
        <v>119</v>
      </c>
      <c r="D164" s="11"/>
      <c r="E164" s="11"/>
      <c r="F164" s="11"/>
      <c r="G164" s="3">
        <v>1</v>
      </c>
      <c r="H164" s="4" t="s">
        <v>121</v>
      </c>
      <c r="I164" s="4" t="s">
        <v>66</v>
      </c>
      <c r="J164" s="1" t="s">
        <v>35</v>
      </c>
      <c r="K164" s="15"/>
    </row>
    <row r="165" spans="1:11" x14ac:dyDescent="0.3">
      <c r="A165" s="9" t="str">
        <f t="shared" ref="A165:A170" si="21">"08.03.2021"</f>
        <v>08.03.2021</v>
      </c>
      <c r="B165" s="12"/>
      <c r="C165" s="11"/>
      <c r="D165" s="11"/>
      <c r="E165" s="11"/>
      <c r="F165" s="11"/>
      <c r="G165" s="3">
        <v>2</v>
      </c>
      <c r="H165" s="4" t="s">
        <v>123</v>
      </c>
      <c r="I165" s="4" t="s">
        <v>122</v>
      </c>
      <c r="J165" s="1" t="s">
        <v>124</v>
      </c>
      <c r="K165" s="15" t="s">
        <v>137</v>
      </c>
    </row>
    <row r="166" spans="1:11" x14ac:dyDescent="0.3">
      <c r="A166" s="9" t="str">
        <f t="shared" si="21"/>
        <v>08.03.2021</v>
      </c>
      <c r="B166" s="12"/>
      <c r="C166" s="11"/>
      <c r="D166" s="11"/>
      <c r="E166" s="11"/>
      <c r="F166" s="11"/>
      <c r="G166" s="3">
        <v>3</v>
      </c>
      <c r="H166" s="4" t="s">
        <v>125</v>
      </c>
      <c r="I166" s="4" t="s">
        <v>126</v>
      </c>
      <c r="J166" s="1" t="s">
        <v>127</v>
      </c>
      <c r="K166" s="15" t="s">
        <v>138</v>
      </c>
    </row>
    <row r="167" spans="1:11" x14ac:dyDescent="0.3">
      <c r="A167" s="9" t="str">
        <f t="shared" si="21"/>
        <v>08.03.2021</v>
      </c>
      <c r="B167" s="12"/>
      <c r="C167" s="11"/>
      <c r="D167" s="11"/>
      <c r="E167" s="11"/>
      <c r="F167" s="11"/>
      <c r="G167" s="3">
        <v>4</v>
      </c>
      <c r="H167" s="4" t="s">
        <v>128</v>
      </c>
      <c r="I167" s="4" t="s">
        <v>66</v>
      </c>
      <c r="J167" s="1" t="s">
        <v>129</v>
      </c>
      <c r="K167" s="15" t="s">
        <v>139</v>
      </c>
    </row>
    <row r="168" spans="1:11" x14ac:dyDescent="0.3">
      <c r="A168" s="9" t="str">
        <f t="shared" si="21"/>
        <v>08.03.2021</v>
      </c>
      <c r="B168" s="12"/>
      <c r="C168" s="11"/>
      <c r="D168" s="11"/>
      <c r="E168" s="11"/>
      <c r="F168" s="11"/>
      <c r="G168" s="3">
        <v>5</v>
      </c>
      <c r="H168" s="4" t="s">
        <v>130</v>
      </c>
      <c r="I168" s="4" t="s">
        <v>69</v>
      </c>
      <c r="J168" s="1" t="s">
        <v>131</v>
      </c>
      <c r="K168" s="15" t="s">
        <v>140</v>
      </c>
    </row>
    <row r="169" spans="1:11" x14ac:dyDescent="0.3">
      <c r="A169" s="9" t="str">
        <f t="shared" si="21"/>
        <v>08.03.2021</v>
      </c>
      <c r="B169" s="12"/>
      <c r="C169" s="11"/>
      <c r="D169" s="11"/>
      <c r="E169" s="11"/>
      <c r="F169" s="11"/>
      <c r="G169" s="3">
        <v>6</v>
      </c>
      <c r="H169" s="4" t="s">
        <v>132</v>
      </c>
      <c r="I169" s="4" t="s">
        <v>66</v>
      </c>
      <c r="J169" s="1" t="s">
        <v>133</v>
      </c>
      <c r="K169" s="15" t="s">
        <v>141</v>
      </c>
    </row>
    <row r="170" spans="1:11" x14ac:dyDescent="0.3">
      <c r="A170" s="9" t="str">
        <f t="shared" si="21"/>
        <v>08.03.2021</v>
      </c>
      <c r="B170" s="12"/>
      <c r="C170" s="11"/>
      <c r="D170" s="11"/>
      <c r="E170" s="11"/>
      <c r="F170" s="11"/>
      <c r="G170" s="3">
        <v>7</v>
      </c>
      <c r="H170" s="4" t="s">
        <v>134</v>
      </c>
      <c r="I170" s="4" t="s">
        <v>135</v>
      </c>
      <c r="J170" s="1" t="s">
        <v>136</v>
      </c>
      <c r="K170" s="15"/>
    </row>
    <row r="171" spans="1:11" ht="86.4" x14ac:dyDescent="0.3">
      <c r="A171" s="9" t="str">
        <f>"03.11.2020"</f>
        <v>03.11.2020</v>
      </c>
      <c r="B171" s="12" t="s">
        <v>142</v>
      </c>
      <c r="C171" s="11" t="s">
        <v>143</v>
      </c>
      <c r="D171" s="11"/>
      <c r="E171" s="11"/>
      <c r="F171" s="11"/>
      <c r="G171" s="3">
        <v>1</v>
      </c>
      <c r="H171" s="4" t="s">
        <v>120</v>
      </c>
      <c r="I171" s="4" t="s">
        <v>66</v>
      </c>
      <c r="J171" s="1" t="s">
        <v>144</v>
      </c>
      <c r="K171" s="15" t="s">
        <v>145</v>
      </c>
    </row>
    <row r="172" spans="1:11" x14ac:dyDescent="0.3">
      <c r="A172" s="9" t="str">
        <f t="shared" ref="A172:A178" si="22">"03.11.2020"</f>
        <v>03.11.2020</v>
      </c>
      <c r="B172" s="12"/>
      <c r="C172" s="11"/>
      <c r="D172" s="11"/>
      <c r="E172" s="11"/>
      <c r="F172" s="11"/>
      <c r="G172" s="3">
        <v>2</v>
      </c>
      <c r="H172" s="4" t="s">
        <v>146</v>
      </c>
      <c r="I172" s="4" t="s">
        <v>69</v>
      </c>
      <c r="J172" s="1" t="s">
        <v>147</v>
      </c>
      <c r="K172" s="15" t="s">
        <v>148</v>
      </c>
    </row>
    <row r="173" spans="1:11" x14ac:dyDescent="0.3">
      <c r="A173" s="9" t="str">
        <f t="shared" si="22"/>
        <v>03.11.2020</v>
      </c>
      <c r="B173" s="12"/>
      <c r="C173" s="11"/>
      <c r="D173" s="11"/>
      <c r="E173" s="11"/>
      <c r="F173" s="11"/>
      <c r="G173" s="3">
        <v>3</v>
      </c>
      <c r="H173" s="4" t="s">
        <v>150</v>
      </c>
      <c r="I173" s="4" t="s">
        <v>149</v>
      </c>
      <c r="J173" s="1" t="s">
        <v>151</v>
      </c>
      <c r="K173" s="15" t="s">
        <v>152</v>
      </c>
    </row>
    <row r="174" spans="1:11" x14ac:dyDescent="0.3">
      <c r="A174" s="9" t="str">
        <f t="shared" si="22"/>
        <v>03.11.2020</v>
      </c>
      <c r="B174" s="12"/>
      <c r="C174" s="11"/>
      <c r="D174" s="11"/>
      <c r="E174" s="11"/>
      <c r="F174" s="11"/>
      <c r="G174" s="3">
        <v>4</v>
      </c>
      <c r="H174" s="4" t="s">
        <v>65</v>
      </c>
      <c r="I174" s="4" t="s">
        <v>66</v>
      </c>
      <c r="J174" s="1" t="s">
        <v>153</v>
      </c>
      <c r="K174" s="15" t="s">
        <v>154</v>
      </c>
    </row>
    <row r="175" spans="1:11" x14ac:dyDescent="0.3">
      <c r="A175" s="9" t="str">
        <f t="shared" si="22"/>
        <v>03.11.2020</v>
      </c>
      <c r="B175" s="12"/>
      <c r="C175" s="11"/>
      <c r="D175" s="11"/>
      <c r="E175" s="11"/>
      <c r="F175" s="11"/>
      <c r="G175" s="3">
        <v>5</v>
      </c>
      <c r="H175" s="4" t="s">
        <v>155</v>
      </c>
      <c r="I175" s="4" t="s">
        <v>66</v>
      </c>
      <c r="J175" s="16" t="s">
        <v>156</v>
      </c>
      <c r="K175" s="15" t="s">
        <v>157</v>
      </c>
    </row>
    <row r="176" spans="1:11" x14ac:dyDescent="0.3">
      <c r="A176" s="9" t="str">
        <f t="shared" si="22"/>
        <v>03.11.2020</v>
      </c>
      <c r="B176" s="12"/>
      <c r="C176" s="11"/>
      <c r="D176" s="11"/>
      <c r="E176" s="11"/>
      <c r="F176" s="11"/>
      <c r="G176" s="3">
        <v>6</v>
      </c>
      <c r="H176" s="4" t="s">
        <v>158</v>
      </c>
      <c r="I176" s="4" t="s">
        <v>159</v>
      </c>
      <c r="J176" s="1" t="s">
        <v>160</v>
      </c>
      <c r="K176" s="15" t="s">
        <v>161</v>
      </c>
    </row>
    <row r="177" spans="1:11" x14ac:dyDescent="0.3">
      <c r="A177" s="9" t="str">
        <f t="shared" si="22"/>
        <v>03.11.2020</v>
      </c>
      <c r="B177" s="12"/>
      <c r="C177" s="11"/>
      <c r="D177" s="11"/>
      <c r="E177" s="11"/>
      <c r="F177" s="11"/>
      <c r="G177" s="3">
        <v>7</v>
      </c>
      <c r="H177" s="4" t="s">
        <v>162</v>
      </c>
      <c r="I177" s="4" t="s">
        <v>30</v>
      </c>
      <c r="J177" s="1" t="s">
        <v>163</v>
      </c>
      <c r="K177" s="15" t="s">
        <v>164</v>
      </c>
    </row>
    <row r="178" spans="1:11" x14ac:dyDescent="0.3">
      <c r="A178" s="9" t="str">
        <f t="shared" si="22"/>
        <v>03.11.2020</v>
      </c>
      <c r="B178" s="12"/>
      <c r="C178" s="11"/>
      <c r="D178" s="11"/>
      <c r="E178" s="11"/>
      <c r="F178" s="11"/>
      <c r="G178" s="3">
        <v>8</v>
      </c>
      <c r="H178" s="4" t="s">
        <v>0</v>
      </c>
      <c r="I178" s="4" t="s">
        <v>64</v>
      </c>
      <c r="J178" s="1" t="s">
        <v>165</v>
      </c>
      <c r="K178" s="15" t="s">
        <v>166</v>
      </c>
    </row>
    <row r="179" spans="1:11" ht="86.4" x14ac:dyDescent="0.3">
      <c r="A179" s="9" t="str">
        <f>"07.09.2020"</f>
        <v>07.09.2020</v>
      </c>
      <c r="B179" s="12" t="s">
        <v>167</v>
      </c>
      <c r="C179" s="11" t="s">
        <v>168</v>
      </c>
      <c r="D179" s="11"/>
      <c r="E179" s="11"/>
      <c r="F179" s="11"/>
      <c r="G179" s="3">
        <v>1</v>
      </c>
      <c r="H179" s="4" t="s">
        <v>177</v>
      </c>
      <c r="I179" s="4" t="s">
        <v>66</v>
      </c>
      <c r="J179" s="16" t="s">
        <v>198</v>
      </c>
      <c r="K179" s="15" t="s">
        <v>169</v>
      </c>
    </row>
    <row r="180" spans="1:11" x14ac:dyDescent="0.3">
      <c r="A180" s="9" t="str">
        <f t="shared" ref="A180:A188" si="23">"07.09.2020"</f>
        <v>07.09.2020</v>
      </c>
      <c r="B180" s="12"/>
      <c r="C180" s="11"/>
      <c r="D180" s="11"/>
      <c r="E180" s="11"/>
      <c r="F180" s="11"/>
      <c r="G180" s="3">
        <v>2</v>
      </c>
      <c r="H180" s="4" t="s">
        <v>178</v>
      </c>
      <c r="I180" s="4" t="s">
        <v>187</v>
      </c>
      <c r="J180" s="16" t="s">
        <v>197</v>
      </c>
      <c r="K180" s="15" t="s">
        <v>170</v>
      </c>
    </row>
    <row r="181" spans="1:11" x14ac:dyDescent="0.3">
      <c r="A181" s="9" t="str">
        <f t="shared" si="23"/>
        <v>07.09.2020</v>
      </c>
      <c r="B181" s="12"/>
      <c r="C181" s="11"/>
      <c r="D181" s="11"/>
      <c r="E181" s="11"/>
      <c r="F181" s="11"/>
      <c r="G181" s="3">
        <v>3</v>
      </c>
      <c r="H181" s="4" t="s">
        <v>179</v>
      </c>
      <c r="I181" s="4" t="s">
        <v>188</v>
      </c>
      <c r="J181" s="16" t="s">
        <v>196</v>
      </c>
      <c r="K181" s="15" t="s">
        <v>171</v>
      </c>
    </row>
    <row r="182" spans="1:11" x14ac:dyDescent="0.3">
      <c r="A182" s="9" t="str">
        <f t="shared" si="23"/>
        <v>07.09.2020</v>
      </c>
      <c r="B182" s="12"/>
      <c r="C182" s="11"/>
      <c r="D182" s="11"/>
      <c r="E182" s="11"/>
      <c r="F182" s="11"/>
      <c r="G182" s="3">
        <v>4</v>
      </c>
      <c r="H182" s="4" t="s">
        <v>180</v>
      </c>
      <c r="I182" s="4" t="s">
        <v>73</v>
      </c>
      <c r="J182" s="16" t="s">
        <v>195</v>
      </c>
      <c r="K182" s="15" t="s">
        <v>172</v>
      </c>
    </row>
    <row r="183" spans="1:11" x14ac:dyDescent="0.3">
      <c r="A183" s="9" t="str">
        <f t="shared" si="23"/>
        <v>07.09.2020</v>
      </c>
      <c r="B183" s="12"/>
      <c r="C183" s="11"/>
      <c r="D183" s="11"/>
      <c r="E183" s="11"/>
      <c r="F183" s="11"/>
      <c r="G183" s="3">
        <v>5</v>
      </c>
      <c r="H183" s="4" t="s">
        <v>181</v>
      </c>
      <c r="I183" s="4" t="s">
        <v>69</v>
      </c>
      <c r="J183" s="16" t="s">
        <v>194</v>
      </c>
      <c r="K183" s="15" t="s">
        <v>173</v>
      </c>
    </row>
    <row r="184" spans="1:11" x14ac:dyDescent="0.3">
      <c r="A184" s="9" t="str">
        <f t="shared" si="23"/>
        <v>07.09.2020</v>
      </c>
      <c r="B184" s="12"/>
      <c r="C184" s="11"/>
      <c r="D184" s="11"/>
      <c r="E184" s="11"/>
      <c r="F184" s="11"/>
      <c r="G184" s="3">
        <v>6</v>
      </c>
      <c r="H184" s="4" t="s">
        <v>121</v>
      </c>
      <c r="I184" s="4" t="s">
        <v>66</v>
      </c>
      <c r="J184" s="16" t="s">
        <v>193</v>
      </c>
      <c r="K184" s="15" t="s">
        <v>174</v>
      </c>
    </row>
    <row r="185" spans="1:11" x14ac:dyDescent="0.3">
      <c r="A185" s="9" t="str">
        <f t="shared" si="23"/>
        <v>07.09.2020</v>
      </c>
      <c r="B185" s="12"/>
      <c r="C185" s="11"/>
      <c r="D185" s="11"/>
      <c r="E185" s="11"/>
      <c r="F185" s="11"/>
      <c r="G185" s="3">
        <v>7</v>
      </c>
      <c r="H185" s="4" t="s">
        <v>182</v>
      </c>
      <c r="I185" s="4" t="s">
        <v>69</v>
      </c>
      <c r="J185" s="16" t="s">
        <v>192</v>
      </c>
      <c r="K185" s="15" t="s">
        <v>175</v>
      </c>
    </row>
    <row r="186" spans="1:11" x14ac:dyDescent="0.3">
      <c r="A186" s="9" t="str">
        <f t="shared" si="23"/>
        <v>07.09.2020</v>
      </c>
      <c r="B186" s="12"/>
      <c r="C186" s="11"/>
      <c r="D186" s="11"/>
      <c r="E186" s="11"/>
      <c r="F186" s="11"/>
      <c r="G186" s="3">
        <v>8</v>
      </c>
      <c r="H186" s="4" t="s">
        <v>183</v>
      </c>
      <c r="I186" s="4" t="s">
        <v>189</v>
      </c>
      <c r="J186" s="1" t="s">
        <v>190</v>
      </c>
      <c r="K186" s="15" t="s">
        <v>176</v>
      </c>
    </row>
    <row r="187" spans="1:11" x14ac:dyDescent="0.3">
      <c r="A187" s="9" t="str">
        <f t="shared" si="23"/>
        <v>07.09.2020</v>
      </c>
      <c r="B187" s="12"/>
      <c r="C187" s="11"/>
      <c r="D187" s="11"/>
      <c r="E187" s="11"/>
      <c r="F187" s="11"/>
      <c r="G187" s="3">
        <v>9</v>
      </c>
      <c r="H187" s="4" t="s">
        <v>134</v>
      </c>
      <c r="I187" s="4" t="s">
        <v>135</v>
      </c>
      <c r="J187" s="1" t="s">
        <v>191</v>
      </c>
      <c r="K187" s="15" t="s">
        <v>516</v>
      </c>
    </row>
    <row r="188" spans="1:11" x14ac:dyDescent="0.3">
      <c r="A188" s="9" t="str">
        <f t="shared" si="23"/>
        <v>07.09.2020</v>
      </c>
      <c r="B188" s="12"/>
      <c r="C188" s="11"/>
      <c r="D188" s="11"/>
      <c r="E188" s="11"/>
      <c r="F188" s="11"/>
      <c r="G188" s="3">
        <v>10</v>
      </c>
      <c r="H188" s="4" t="s">
        <v>185</v>
      </c>
      <c r="I188" s="4"/>
      <c r="J188" s="1" t="s">
        <v>186</v>
      </c>
      <c r="K188" s="15" t="s">
        <v>184</v>
      </c>
    </row>
    <row r="189" spans="1:11" ht="28.8" x14ac:dyDescent="0.3">
      <c r="A189" s="9" t="str">
        <f>"30.06.2020"</f>
        <v>30.06.2020</v>
      </c>
      <c r="B189" s="12" t="s">
        <v>199</v>
      </c>
      <c r="C189" s="11" t="s">
        <v>200</v>
      </c>
      <c r="D189" s="11"/>
      <c r="E189" s="11"/>
      <c r="F189" s="11"/>
      <c r="G189" s="3">
        <v>1</v>
      </c>
      <c r="H189" s="4" t="s">
        <v>201</v>
      </c>
      <c r="I189" s="4" t="s">
        <v>202</v>
      </c>
      <c r="J189" s="16" t="s">
        <v>210</v>
      </c>
      <c r="K189" s="15" t="s">
        <v>215</v>
      </c>
    </row>
    <row r="190" spans="1:11" x14ac:dyDescent="0.3">
      <c r="A190" s="9" t="str">
        <f t="shared" ref="A190:A193" si="24">"30.06.2020"</f>
        <v>30.06.2020</v>
      </c>
      <c r="B190" s="12"/>
      <c r="C190" s="11"/>
      <c r="D190" s="11"/>
      <c r="E190" s="11"/>
      <c r="F190" s="11"/>
      <c r="G190" s="3">
        <v>2</v>
      </c>
      <c r="H190" s="4" t="s">
        <v>203</v>
      </c>
      <c r="I190" s="4" t="s">
        <v>204</v>
      </c>
      <c r="J190" s="16" t="s">
        <v>211</v>
      </c>
      <c r="K190" s="15" t="s">
        <v>216</v>
      </c>
    </row>
    <row r="191" spans="1:11" x14ac:dyDescent="0.3">
      <c r="A191" s="9" t="str">
        <f t="shared" si="24"/>
        <v>30.06.2020</v>
      </c>
      <c r="B191" s="12"/>
      <c r="C191" s="11"/>
      <c r="D191" s="11"/>
      <c r="E191" s="11"/>
      <c r="F191" s="11"/>
      <c r="G191" s="3">
        <v>3</v>
      </c>
      <c r="H191" s="4" t="s">
        <v>205</v>
      </c>
      <c r="I191" s="4" t="s">
        <v>206</v>
      </c>
      <c r="J191" s="16" t="s">
        <v>212</v>
      </c>
      <c r="K191" s="15" t="s">
        <v>217</v>
      </c>
    </row>
    <row r="192" spans="1:11" x14ac:dyDescent="0.3">
      <c r="A192" s="9" t="str">
        <f t="shared" si="24"/>
        <v>30.06.2020</v>
      </c>
      <c r="B192" s="12"/>
      <c r="C192" s="11"/>
      <c r="D192" s="11"/>
      <c r="E192" s="11"/>
      <c r="F192" s="11"/>
      <c r="G192" s="3">
        <v>4</v>
      </c>
      <c r="H192" s="4" t="s">
        <v>207</v>
      </c>
      <c r="I192" s="4" t="s">
        <v>208</v>
      </c>
      <c r="J192" s="16" t="s">
        <v>213</v>
      </c>
      <c r="K192" s="15" t="s">
        <v>218</v>
      </c>
    </row>
    <row r="193" spans="1:11" x14ac:dyDescent="0.3">
      <c r="A193" s="9" t="str">
        <f t="shared" si="24"/>
        <v>30.06.2020</v>
      </c>
      <c r="B193" s="12"/>
      <c r="C193" s="11"/>
      <c r="D193" s="11"/>
      <c r="E193" s="11"/>
      <c r="F193" s="11"/>
      <c r="G193" s="3">
        <v>5</v>
      </c>
      <c r="H193" s="4" t="s">
        <v>209</v>
      </c>
      <c r="I193" s="4" t="s">
        <v>34</v>
      </c>
      <c r="J193" s="16" t="s">
        <v>214</v>
      </c>
      <c r="K193" s="15" t="s">
        <v>219</v>
      </c>
    </row>
    <row r="194" spans="1:11" ht="72" x14ac:dyDescent="0.3">
      <c r="A194" s="9" t="str">
        <f>"29.06.2020"</f>
        <v>29.06.2020</v>
      </c>
      <c r="B194" s="12" t="s">
        <v>220</v>
      </c>
      <c r="C194" s="11" t="s">
        <v>221</v>
      </c>
      <c r="D194" s="11"/>
      <c r="E194" s="11"/>
      <c r="F194" s="11"/>
      <c r="G194" s="3">
        <v>1</v>
      </c>
      <c r="H194" s="4" t="s">
        <v>177</v>
      </c>
      <c r="I194" s="4" t="s">
        <v>66</v>
      </c>
      <c r="J194" s="16" t="s">
        <v>198</v>
      </c>
      <c r="K194" s="15" t="s">
        <v>169</v>
      </c>
    </row>
    <row r="195" spans="1:11" x14ac:dyDescent="0.3">
      <c r="A195" s="9" t="str">
        <f t="shared" ref="A195:A200" si="25">"29.06.2020"</f>
        <v>29.06.2020</v>
      </c>
      <c r="B195" s="12"/>
      <c r="C195" s="11"/>
      <c r="D195" s="11"/>
      <c r="E195" s="11"/>
      <c r="F195" s="11"/>
      <c r="G195" s="3">
        <v>2</v>
      </c>
      <c r="H195" s="4" t="s">
        <v>0</v>
      </c>
      <c r="I195" s="4" t="s">
        <v>64</v>
      </c>
      <c r="J195" s="16" t="s">
        <v>222</v>
      </c>
      <c r="K195" s="15" t="s">
        <v>234</v>
      </c>
    </row>
    <row r="196" spans="1:11" x14ac:dyDescent="0.3">
      <c r="A196" s="9" t="str">
        <f t="shared" si="25"/>
        <v>29.06.2020</v>
      </c>
      <c r="B196" s="12"/>
      <c r="C196" s="11"/>
      <c r="D196" s="11"/>
      <c r="E196" s="11"/>
      <c r="F196" s="11"/>
      <c r="G196" s="3">
        <v>3</v>
      </c>
      <c r="H196" s="4" t="s">
        <v>223</v>
      </c>
      <c r="I196" s="4" t="s">
        <v>69</v>
      </c>
      <c r="J196" s="16" t="s">
        <v>224</v>
      </c>
      <c r="K196" s="15" t="s">
        <v>235</v>
      </c>
    </row>
    <row r="197" spans="1:11" x14ac:dyDescent="0.3">
      <c r="A197" s="9" t="str">
        <f t="shared" si="25"/>
        <v>29.06.2020</v>
      </c>
      <c r="B197" s="12"/>
      <c r="C197" s="11"/>
      <c r="D197" s="11"/>
      <c r="E197" s="11"/>
      <c r="F197" s="11"/>
      <c r="G197" s="3">
        <v>4</v>
      </c>
      <c r="H197" s="4" t="s">
        <v>225</v>
      </c>
      <c r="I197" s="4" t="s">
        <v>66</v>
      </c>
      <c r="J197" s="16" t="s">
        <v>228</v>
      </c>
      <c r="K197" s="15" t="s">
        <v>236</v>
      </c>
    </row>
    <row r="198" spans="1:11" x14ac:dyDescent="0.3">
      <c r="A198" s="9" t="str">
        <f t="shared" si="25"/>
        <v>29.06.2020</v>
      </c>
      <c r="B198" s="12"/>
      <c r="C198" s="11"/>
      <c r="D198" s="11"/>
      <c r="E198" s="11"/>
      <c r="F198" s="11"/>
      <c r="G198" s="3">
        <v>5</v>
      </c>
      <c r="H198" s="4" t="s">
        <v>226</v>
      </c>
      <c r="I198" s="4" t="s">
        <v>227</v>
      </c>
      <c r="J198" s="16" t="s">
        <v>229</v>
      </c>
      <c r="K198" s="15" t="s">
        <v>237</v>
      </c>
    </row>
    <row r="199" spans="1:11" x14ac:dyDescent="0.3">
      <c r="A199" s="9" t="str">
        <f t="shared" si="25"/>
        <v>29.06.2020</v>
      </c>
      <c r="B199" s="12"/>
      <c r="C199" s="11"/>
      <c r="D199" s="11"/>
      <c r="E199" s="11"/>
      <c r="F199" s="11"/>
      <c r="G199" s="3">
        <v>6</v>
      </c>
      <c r="H199" s="4" t="s">
        <v>230</v>
      </c>
      <c r="I199" s="4" t="s">
        <v>231</v>
      </c>
      <c r="J199" s="16" t="s">
        <v>232</v>
      </c>
      <c r="K199" s="15" t="s">
        <v>238</v>
      </c>
    </row>
    <row r="200" spans="1:11" x14ac:dyDescent="0.3">
      <c r="A200" s="9" t="str">
        <f t="shared" si="25"/>
        <v>29.06.2020</v>
      </c>
      <c r="B200" s="12"/>
      <c r="C200" s="11"/>
      <c r="D200" s="11"/>
      <c r="E200" s="11"/>
      <c r="F200" s="11"/>
      <c r="G200" s="3">
        <v>7</v>
      </c>
      <c r="H200" s="4" t="s">
        <v>185</v>
      </c>
      <c r="I200" s="4"/>
      <c r="J200" s="16" t="s">
        <v>186</v>
      </c>
      <c r="K200" s="15" t="s">
        <v>233</v>
      </c>
    </row>
    <row r="201" spans="1:11" x14ac:dyDescent="0.3">
      <c r="A201" s="9" t="str">
        <f>"03.06.2020"</f>
        <v>03.06.2020</v>
      </c>
      <c r="B201" s="12" t="s">
        <v>239</v>
      </c>
      <c r="C201" s="11"/>
      <c r="D201" s="11"/>
      <c r="E201" s="11"/>
      <c r="F201" s="11"/>
      <c r="G201" s="3">
        <v>1</v>
      </c>
      <c r="H201" s="4" t="s">
        <v>241</v>
      </c>
      <c r="I201" s="4" t="s">
        <v>240</v>
      </c>
      <c r="J201" s="16" t="s">
        <v>242</v>
      </c>
      <c r="K201" s="15" t="s">
        <v>250</v>
      </c>
    </row>
    <row r="202" spans="1:11" x14ac:dyDescent="0.3">
      <c r="A202" s="9" t="str">
        <f t="shared" ref="A202:A204" si="26">"03.06.2020"</f>
        <v>03.06.2020</v>
      </c>
      <c r="B202" s="12"/>
      <c r="C202" s="11"/>
      <c r="D202" s="11"/>
      <c r="E202" s="11"/>
      <c r="F202" s="11"/>
      <c r="G202" s="3">
        <v>2</v>
      </c>
      <c r="H202" s="4" t="s">
        <v>244</v>
      </c>
      <c r="I202" s="4" t="s">
        <v>243</v>
      </c>
      <c r="J202" s="16" t="s">
        <v>245</v>
      </c>
      <c r="K202" s="15" t="s">
        <v>251</v>
      </c>
    </row>
    <row r="203" spans="1:11" x14ac:dyDescent="0.3">
      <c r="A203" s="9" t="str">
        <f t="shared" si="26"/>
        <v>03.06.2020</v>
      </c>
      <c r="B203" s="12"/>
      <c r="C203" s="11"/>
      <c r="D203" s="11"/>
      <c r="E203" s="11"/>
      <c r="F203" s="11"/>
      <c r="G203" s="3">
        <v>3</v>
      </c>
      <c r="H203" s="4" t="s">
        <v>246</v>
      </c>
      <c r="I203" s="4" t="s">
        <v>69</v>
      </c>
      <c r="J203" s="16" t="s">
        <v>247</v>
      </c>
      <c r="K203" s="15" t="s">
        <v>252</v>
      </c>
    </row>
    <row r="204" spans="1:11" x14ac:dyDescent="0.3">
      <c r="A204" s="9" t="str">
        <f t="shared" si="26"/>
        <v>03.06.2020</v>
      </c>
      <c r="B204" s="12"/>
      <c r="C204" s="11"/>
      <c r="D204" s="11"/>
      <c r="E204" s="11"/>
      <c r="F204" s="11"/>
      <c r="G204" s="3">
        <v>4</v>
      </c>
      <c r="H204" s="4" t="s">
        <v>248</v>
      </c>
      <c r="I204" s="4" t="s">
        <v>66</v>
      </c>
      <c r="J204" s="16" t="s">
        <v>249</v>
      </c>
      <c r="K204" s="15" t="s">
        <v>253</v>
      </c>
    </row>
    <row r="205" spans="1:11" x14ac:dyDescent="0.3">
      <c r="A205" s="9" t="str">
        <f>"06.05.2020"</f>
        <v>06.05.2020</v>
      </c>
      <c r="B205" s="12" t="s">
        <v>254</v>
      </c>
      <c r="C205" s="11"/>
      <c r="D205" s="11"/>
      <c r="E205" s="11"/>
      <c r="F205" s="11"/>
      <c r="G205" s="3">
        <v>1</v>
      </c>
      <c r="H205" s="4" t="s">
        <v>519</v>
      </c>
      <c r="I205" s="4" t="s">
        <v>261</v>
      </c>
      <c r="J205" s="16" t="s">
        <v>260</v>
      </c>
      <c r="K205" s="15" t="s">
        <v>268</v>
      </c>
    </row>
    <row r="206" spans="1:11" x14ac:dyDescent="0.3">
      <c r="A206" s="9" t="str">
        <f t="shared" ref="A206:A210" si="27">"06.05.2020"</f>
        <v>06.05.2020</v>
      </c>
      <c r="B206" s="12"/>
      <c r="C206" s="11"/>
      <c r="D206" s="11"/>
      <c r="E206" s="11"/>
      <c r="F206" s="11"/>
      <c r="G206" s="3">
        <v>2</v>
      </c>
      <c r="H206" s="4" t="s">
        <v>255</v>
      </c>
      <c r="I206" s="4" t="s">
        <v>262</v>
      </c>
      <c r="J206" s="16" t="s">
        <v>263</v>
      </c>
      <c r="K206" s="15" t="s">
        <v>269</v>
      </c>
    </row>
    <row r="207" spans="1:11" x14ac:dyDescent="0.3">
      <c r="A207" s="9" t="str">
        <f t="shared" si="27"/>
        <v>06.05.2020</v>
      </c>
      <c r="B207" s="12"/>
      <c r="C207" s="11"/>
      <c r="D207" s="11"/>
      <c r="E207" s="11"/>
      <c r="F207" s="11"/>
      <c r="G207" s="3">
        <v>3</v>
      </c>
      <c r="H207" s="4" t="s">
        <v>256</v>
      </c>
      <c r="I207" s="4" t="s">
        <v>69</v>
      </c>
      <c r="J207" s="16" t="s">
        <v>264</v>
      </c>
      <c r="K207" s="15" t="s">
        <v>270</v>
      </c>
    </row>
    <row r="208" spans="1:11" x14ac:dyDescent="0.3">
      <c r="A208" s="9" t="str">
        <f t="shared" si="27"/>
        <v>06.05.2020</v>
      </c>
      <c r="B208" s="12"/>
      <c r="C208" s="11"/>
      <c r="D208" s="11"/>
      <c r="E208" s="11"/>
      <c r="F208" s="11"/>
      <c r="G208" s="3">
        <v>4</v>
      </c>
      <c r="H208" s="4" t="s">
        <v>257</v>
      </c>
      <c r="I208" s="4" t="s">
        <v>15</v>
      </c>
      <c r="J208" s="16" t="s">
        <v>265</v>
      </c>
      <c r="K208" s="15" t="s">
        <v>271</v>
      </c>
    </row>
    <row r="209" spans="1:12" x14ac:dyDescent="0.3">
      <c r="A209" s="9" t="str">
        <f t="shared" si="27"/>
        <v>06.05.2020</v>
      </c>
      <c r="B209" s="12"/>
      <c r="C209" s="11"/>
      <c r="D209" s="11"/>
      <c r="E209" s="11"/>
      <c r="F209" s="11"/>
      <c r="G209" s="3">
        <v>5</v>
      </c>
      <c r="H209" s="4" t="s">
        <v>258</v>
      </c>
      <c r="I209" s="4" t="s">
        <v>66</v>
      </c>
      <c r="J209" s="16" t="s">
        <v>266</v>
      </c>
      <c r="K209" s="15" t="s">
        <v>272</v>
      </c>
    </row>
    <row r="210" spans="1:12" x14ac:dyDescent="0.3">
      <c r="A210" s="9" t="str">
        <f t="shared" si="27"/>
        <v>06.05.2020</v>
      </c>
      <c r="B210" s="12"/>
      <c r="C210" s="11"/>
      <c r="D210" s="11"/>
      <c r="E210" s="11"/>
      <c r="F210" s="11"/>
      <c r="G210" s="3">
        <v>6</v>
      </c>
      <c r="H210" s="4" t="s">
        <v>259</v>
      </c>
      <c r="I210" s="4" t="s">
        <v>69</v>
      </c>
      <c r="J210" s="16" t="s">
        <v>267</v>
      </c>
      <c r="K210" s="15" t="s">
        <v>273</v>
      </c>
    </row>
    <row r="211" spans="1:12" x14ac:dyDescent="0.3">
      <c r="A211" s="9" t="str">
        <f>"04.02.2020"</f>
        <v>04.02.2020</v>
      </c>
      <c r="B211" s="12" t="s">
        <v>274</v>
      </c>
      <c r="C211" s="11"/>
      <c r="D211" s="11"/>
      <c r="E211" s="11"/>
      <c r="F211" s="11"/>
      <c r="G211" s="3">
        <v>1</v>
      </c>
      <c r="H211" s="4" t="s">
        <v>275</v>
      </c>
      <c r="I211" s="4"/>
      <c r="J211" s="16" t="s">
        <v>276</v>
      </c>
      <c r="K211" s="15" t="s">
        <v>286</v>
      </c>
    </row>
    <row r="212" spans="1:12" x14ac:dyDescent="0.3">
      <c r="A212" s="9" t="str">
        <f t="shared" ref="A212:A216" si="28">"04.02.2020"</f>
        <v>04.02.2020</v>
      </c>
      <c r="B212" s="12"/>
      <c r="C212" s="11"/>
      <c r="D212" s="11"/>
      <c r="E212" s="11"/>
      <c r="F212" s="11"/>
      <c r="G212" s="3">
        <v>2</v>
      </c>
      <c r="H212" s="4" t="s">
        <v>277</v>
      </c>
      <c r="I212" s="4"/>
      <c r="J212" s="16" t="s">
        <v>278</v>
      </c>
      <c r="K212" s="15" t="s">
        <v>287</v>
      </c>
    </row>
    <row r="213" spans="1:12" x14ac:dyDescent="0.3">
      <c r="A213" s="9" t="str">
        <f t="shared" si="28"/>
        <v>04.02.2020</v>
      </c>
      <c r="B213" s="12"/>
      <c r="C213" s="11"/>
      <c r="D213" s="11"/>
      <c r="E213" s="11"/>
      <c r="F213" s="11"/>
      <c r="G213" s="3">
        <v>3</v>
      </c>
      <c r="H213" s="4" t="s">
        <v>279</v>
      </c>
      <c r="I213" s="4"/>
      <c r="J213" s="16" t="s">
        <v>280</v>
      </c>
      <c r="K213" s="15" t="s">
        <v>288</v>
      </c>
    </row>
    <row r="214" spans="1:12" x14ac:dyDescent="0.3">
      <c r="A214" s="9" t="str">
        <f t="shared" si="28"/>
        <v>04.02.2020</v>
      </c>
      <c r="B214" s="12"/>
      <c r="C214" s="11"/>
      <c r="D214" s="11"/>
      <c r="E214" s="11"/>
      <c r="F214" s="11"/>
      <c r="G214" s="3">
        <v>4</v>
      </c>
      <c r="H214" s="4" t="s">
        <v>281</v>
      </c>
      <c r="I214" s="4"/>
      <c r="J214" s="16" t="s">
        <v>285</v>
      </c>
      <c r="K214" s="15" t="s">
        <v>289</v>
      </c>
    </row>
    <row r="215" spans="1:12" x14ac:dyDescent="0.3">
      <c r="A215" s="9" t="str">
        <f t="shared" si="28"/>
        <v>04.02.2020</v>
      </c>
      <c r="B215" s="12"/>
      <c r="C215" s="11"/>
      <c r="D215" s="11"/>
      <c r="E215" s="11"/>
      <c r="F215" s="11"/>
      <c r="G215" s="3">
        <v>5</v>
      </c>
      <c r="H215" s="4" t="s">
        <v>282</v>
      </c>
      <c r="I215" s="4"/>
      <c r="J215" s="16" t="s">
        <v>1049</v>
      </c>
      <c r="K215" s="15"/>
    </row>
    <row r="216" spans="1:12" x14ac:dyDescent="0.3">
      <c r="A216" s="9" t="str">
        <f t="shared" si="28"/>
        <v>04.02.2020</v>
      </c>
      <c r="B216" s="12"/>
      <c r="C216" s="11"/>
      <c r="D216" s="11"/>
      <c r="E216" s="11"/>
      <c r="F216" s="11"/>
      <c r="G216" s="3">
        <v>6</v>
      </c>
      <c r="H216" s="4" t="s">
        <v>283</v>
      </c>
      <c r="I216" s="4"/>
      <c r="J216" s="16" t="s">
        <v>284</v>
      </c>
      <c r="K216" s="15"/>
    </row>
    <row r="217" spans="1:12" ht="27.6" x14ac:dyDescent="0.3">
      <c r="A217" s="9" t="str">
        <f>"01.11.2019"</f>
        <v>01.11.2019</v>
      </c>
      <c r="B217" s="12" t="s">
        <v>290</v>
      </c>
      <c r="C217" s="11"/>
      <c r="D217" s="11"/>
      <c r="E217" s="3" t="s">
        <v>1050</v>
      </c>
      <c r="F217" s="3"/>
      <c r="G217" s="3">
        <v>1</v>
      </c>
      <c r="H217" s="4" t="s">
        <v>291</v>
      </c>
      <c r="I217" s="4"/>
      <c r="J217" s="16" t="s">
        <v>292</v>
      </c>
      <c r="K217" s="15" t="s">
        <v>307</v>
      </c>
    </row>
    <row r="218" spans="1:12" x14ac:dyDescent="0.3">
      <c r="A218" s="9" t="str">
        <f t="shared" ref="A218:A225" si="29">"01.11.2019"</f>
        <v>01.11.2019</v>
      </c>
      <c r="B218" s="12"/>
      <c r="C218" s="11"/>
      <c r="D218" s="11"/>
      <c r="E218" s="11"/>
      <c r="F218" s="11"/>
      <c r="G218" s="3">
        <v>2</v>
      </c>
      <c r="H218" s="4" t="s">
        <v>293</v>
      </c>
      <c r="I218" s="4"/>
      <c r="J218" s="16" t="s">
        <v>294</v>
      </c>
      <c r="K218" s="15" t="s">
        <v>308</v>
      </c>
    </row>
    <row r="219" spans="1:12" x14ac:dyDescent="0.3">
      <c r="A219" s="9" t="str">
        <f t="shared" si="29"/>
        <v>01.11.2019</v>
      </c>
      <c r="B219" s="12"/>
      <c r="C219" s="11"/>
      <c r="D219" s="11"/>
      <c r="E219" s="11"/>
      <c r="F219" s="11"/>
      <c r="G219" s="3">
        <v>3</v>
      </c>
      <c r="H219" s="4" t="s">
        <v>295</v>
      </c>
      <c r="I219" s="4"/>
      <c r="J219" s="16" t="s">
        <v>296</v>
      </c>
      <c r="K219" s="15" t="s">
        <v>309</v>
      </c>
    </row>
    <row r="220" spans="1:12" x14ac:dyDescent="0.3">
      <c r="A220" s="9" t="str">
        <f t="shared" si="29"/>
        <v>01.11.2019</v>
      </c>
      <c r="B220" s="12"/>
      <c r="C220" s="11"/>
      <c r="D220" s="11"/>
      <c r="E220" s="11"/>
      <c r="F220" s="11"/>
      <c r="G220" s="3">
        <v>4</v>
      </c>
      <c r="H220" s="4" t="s">
        <v>297</v>
      </c>
      <c r="I220" s="4"/>
      <c r="J220" s="16" t="s">
        <v>298</v>
      </c>
      <c r="K220" s="15" t="s">
        <v>310</v>
      </c>
    </row>
    <row r="221" spans="1:12" x14ac:dyDescent="0.3">
      <c r="A221" s="9" t="str">
        <f t="shared" si="29"/>
        <v>01.11.2019</v>
      </c>
      <c r="B221" s="12"/>
      <c r="C221" s="11"/>
      <c r="D221" s="11"/>
      <c r="E221" s="11"/>
      <c r="F221" s="11"/>
      <c r="G221" s="3">
        <v>5</v>
      </c>
      <c r="H221" s="4" t="s">
        <v>134</v>
      </c>
      <c r="I221" s="4"/>
      <c r="J221" s="16" t="s">
        <v>299</v>
      </c>
      <c r="L221" s="7" t="s">
        <v>315</v>
      </c>
    </row>
    <row r="222" spans="1:12" x14ac:dyDescent="0.3">
      <c r="A222" s="9" t="str">
        <f t="shared" si="29"/>
        <v>01.11.2019</v>
      </c>
      <c r="B222" s="12"/>
      <c r="C222" s="11"/>
      <c r="D222" s="11"/>
      <c r="E222" s="11"/>
      <c r="F222" s="11"/>
      <c r="G222" s="3">
        <v>6</v>
      </c>
      <c r="H222" s="4" t="s">
        <v>300</v>
      </c>
      <c r="I222" s="4"/>
      <c r="J222" s="16" t="s">
        <v>301</v>
      </c>
    </row>
    <row r="223" spans="1:12" x14ac:dyDescent="0.3">
      <c r="A223" s="9" t="str">
        <f t="shared" si="29"/>
        <v>01.11.2019</v>
      </c>
      <c r="B223" s="12"/>
      <c r="C223" s="11"/>
      <c r="D223" s="11"/>
      <c r="E223" s="11"/>
      <c r="F223" s="11"/>
      <c r="G223" s="3">
        <v>7</v>
      </c>
      <c r="H223" s="4" t="s">
        <v>314</v>
      </c>
      <c r="I223" s="4"/>
      <c r="J223" s="16" t="s">
        <v>302</v>
      </c>
      <c r="K223" s="15" t="s">
        <v>311</v>
      </c>
    </row>
    <row r="224" spans="1:12" x14ac:dyDescent="0.3">
      <c r="A224" s="9" t="str">
        <f t="shared" si="29"/>
        <v>01.11.2019</v>
      </c>
      <c r="B224" s="12"/>
      <c r="C224" s="11"/>
      <c r="D224" s="11"/>
      <c r="E224" s="11"/>
      <c r="F224" s="11"/>
      <c r="G224" s="3">
        <v>8</v>
      </c>
      <c r="H224" s="4" t="s">
        <v>303</v>
      </c>
      <c r="I224" s="4"/>
      <c r="J224" s="16" t="s">
        <v>304</v>
      </c>
      <c r="K224" s="15" t="s">
        <v>312</v>
      </c>
    </row>
    <row r="225" spans="1:11" x14ac:dyDescent="0.3">
      <c r="A225" s="9" t="str">
        <f t="shared" si="29"/>
        <v>01.11.2019</v>
      </c>
      <c r="B225" s="12"/>
      <c r="C225" s="11"/>
      <c r="D225" s="11"/>
      <c r="E225" s="11"/>
      <c r="F225" s="11"/>
      <c r="G225" s="3">
        <v>9</v>
      </c>
      <c r="H225" s="4" t="s">
        <v>305</v>
      </c>
      <c r="I225" s="4"/>
      <c r="J225" s="16" t="s">
        <v>306</v>
      </c>
      <c r="K225" s="15" t="s">
        <v>313</v>
      </c>
    </row>
    <row r="226" spans="1:11" x14ac:dyDescent="0.3">
      <c r="A226" s="9" t="str">
        <f>"21.08.2019"</f>
        <v>21.08.2019</v>
      </c>
      <c r="B226" s="12" t="s">
        <v>318</v>
      </c>
      <c r="C226" s="11"/>
      <c r="D226" s="11"/>
      <c r="E226" s="3"/>
      <c r="F226" s="3"/>
      <c r="G226" s="3">
        <v>1</v>
      </c>
      <c r="H226" s="4" t="s">
        <v>319</v>
      </c>
      <c r="J226" s="16" t="s">
        <v>320</v>
      </c>
      <c r="K226" s="15" t="s">
        <v>331</v>
      </c>
    </row>
    <row r="227" spans="1:11" x14ac:dyDescent="0.3">
      <c r="A227" s="9" t="str">
        <f t="shared" ref="A227:A232" si="30">"21.08.2019"</f>
        <v>21.08.2019</v>
      </c>
      <c r="B227" s="12"/>
      <c r="C227" s="11"/>
      <c r="D227" s="11"/>
      <c r="E227" s="3"/>
      <c r="F227" s="3"/>
      <c r="G227" s="3">
        <v>2</v>
      </c>
      <c r="H227" s="4" t="s">
        <v>321</v>
      </c>
      <c r="J227" s="16" t="s">
        <v>322</v>
      </c>
      <c r="K227" s="15" t="s">
        <v>332</v>
      </c>
    </row>
    <row r="228" spans="1:11" x14ac:dyDescent="0.3">
      <c r="A228" s="9" t="str">
        <f t="shared" si="30"/>
        <v>21.08.2019</v>
      </c>
      <c r="B228" s="12"/>
      <c r="C228" s="11"/>
      <c r="D228" s="11"/>
      <c r="E228" s="3"/>
      <c r="F228" s="3"/>
      <c r="G228" s="3">
        <v>3</v>
      </c>
      <c r="H228" s="4" t="s">
        <v>323</v>
      </c>
      <c r="J228" s="16" t="s">
        <v>324</v>
      </c>
    </row>
    <row r="229" spans="1:11" x14ac:dyDescent="0.3">
      <c r="A229" s="9" t="str">
        <f t="shared" si="30"/>
        <v>21.08.2019</v>
      </c>
      <c r="B229" s="12"/>
      <c r="C229" s="11"/>
      <c r="D229" s="11"/>
      <c r="E229" s="3"/>
      <c r="F229" s="3"/>
      <c r="G229" s="3">
        <v>4</v>
      </c>
      <c r="H229" s="4" t="s">
        <v>325</v>
      </c>
      <c r="J229" s="14" t="s">
        <v>328</v>
      </c>
      <c r="K229" s="15"/>
    </row>
    <row r="230" spans="1:11" x14ac:dyDescent="0.3">
      <c r="A230" s="9" t="str">
        <f t="shared" si="30"/>
        <v>21.08.2019</v>
      </c>
      <c r="B230" s="12"/>
      <c r="C230" s="11"/>
      <c r="D230" s="11"/>
      <c r="E230" s="3"/>
      <c r="F230" s="3"/>
      <c r="G230" s="3">
        <v>5</v>
      </c>
      <c r="H230" s="4" t="s">
        <v>326</v>
      </c>
      <c r="J230" s="14" t="s">
        <v>329</v>
      </c>
      <c r="K230" s="15"/>
    </row>
    <row r="231" spans="1:11" x14ac:dyDescent="0.3">
      <c r="A231" s="9" t="str">
        <f t="shared" si="30"/>
        <v>21.08.2019</v>
      </c>
      <c r="B231" s="12"/>
      <c r="C231" s="11"/>
      <c r="D231" s="11"/>
      <c r="E231" s="3"/>
      <c r="F231" s="3"/>
      <c r="G231" s="3">
        <v>6</v>
      </c>
      <c r="H231" s="4" t="s">
        <v>146</v>
      </c>
      <c r="J231" s="14" t="s">
        <v>330</v>
      </c>
      <c r="K231" s="15"/>
    </row>
    <row r="232" spans="1:11" x14ac:dyDescent="0.3">
      <c r="A232" s="9" t="str">
        <f t="shared" si="30"/>
        <v>21.08.2019</v>
      </c>
      <c r="B232" s="12"/>
      <c r="C232" s="11"/>
      <c r="D232" s="11"/>
      <c r="E232" s="3"/>
      <c r="F232" s="3"/>
      <c r="G232" s="3">
        <v>7</v>
      </c>
      <c r="H232" s="4" t="s">
        <v>179</v>
      </c>
      <c r="J232" s="16" t="s">
        <v>327</v>
      </c>
      <c r="K232" s="15" t="s">
        <v>333</v>
      </c>
    </row>
    <row r="233" spans="1:11" x14ac:dyDescent="0.3">
      <c r="A233" s="9" t="str">
        <f>"04.06.2019"</f>
        <v>04.06.2019</v>
      </c>
      <c r="B233" s="12" t="s">
        <v>334</v>
      </c>
      <c r="C233" s="11"/>
      <c r="D233" s="11"/>
      <c r="E233" s="3"/>
      <c r="F233" s="3"/>
      <c r="G233" s="3">
        <v>1</v>
      </c>
      <c r="H233" s="4" t="s">
        <v>335</v>
      </c>
      <c r="J233" s="14" t="s">
        <v>349</v>
      </c>
    </row>
    <row r="234" spans="1:11" x14ac:dyDescent="0.3">
      <c r="A234" s="9" t="str">
        <f t="shared" ref="A234:A240" si="31">"04.06.2019"</f>
        <v>04.06.2019</v>
      </c>
      <c r="B234" s="12"/>
      <c r="C234" s="11"/>
      <c r="D234" s="11"/>
      <c r="E234" s="3"/>
      <c r="F234" s="3"/>
      <c r="G234" s="3">
        <v>2</v>
      </c>
      <c r="H234" s="4" t="s">
        <v>336</v>
      </c>
      <c r="J234" s="16" t="s">
        <v>337</v>
      </c>
      <c r="K234" s="15" t="s">
        <v>350</v>
      </c>
    </row>
    <row r="235" spans="1:11" x14ac:dyDescent="0.3">
      <c r="A235" s="9" t="str">
        <f t="shared" si="31"/>
        <v>04.06.2019</v>
      </c>
      <c r="B235" s="12"/>
      <c r="C235" s="11"/>
      <c r="D235" s="11"/>
      <c r="E235" s="3"/>
      <c r="F235" s="3"/>
      <c r="G235" s="3">
        <v>3</v>
      </c>
      <c r="H235" s="4" t="s">
        <v>338</v>
      </c>
      <c r="J235" s="16" t="s">
        <v>339</v>
      </c>
      <c r="K235" s="15" t="s">
        <v>351</v>
      </c>
    </row>
    <row r="236" spans="1:11" x14ac:dyDescent="0.3">
      <c r="A236" s="9" t="str">
        <f t="shared" si="31"/>
        <v>04.06.2019</v>
      </c>
      <c r="B236" s="12"/>
      <c r="C236" s="11"/>
      <c r="D236" s="11"/>
      <c r="E236" s="3"/>
      <c r="F236" s="3"/>
      <c r="G236" s="3">
        <v>4</v>
      </c>
      <c r="H236" s="4" t="s">
        <v>340</v>
      </c>
      <c r="J236" s="16" t="s">
        <v>341</v>
      </c>
      <c r="K236" s="15" t="s">
        <v>352</v>
      </c>
    </row>
    <row r="237" spans="1:11" x14ac:dyDescent="0.3">
      <c r="A237" s="9" t="str">
        <f t="shared" si="31"/>
        <v>04.06.2019</v>
      </c>
      <c r="B237" s="12"/>
      <c r="C237" s="11"/>
      <c r="D237" s="11"/>
      <c r="E237" s="3"/>
      <c r="F237" s="3"/>
      <c r="G237" s="3">
        <v>5</v>
      </c>
      <c r="H237" s="4" t="s">
        <v>357</v>
      </c>
      <c r="J237" s="16" t="s">
        <v>342</v>
      </c>
      <c r="K237" s="15" t="s">
        <v>353</v>
      </c>
    </row>
    <row r="238" spans="1:11" x14ac:dyDescent="0.3">
      <c r="A238" s="9" t="str">
        <f t="shared" si="31"/>
        <v>04.06.2019</v>
      </c>
      <c r="B238" s="12"/>
      <c r="C238" s="11"/>
      <c r="D238" s="11"/>
      <c r="E238" s="3"/>
      <c r="F238" s="3"/>
      <c r="G238" s="3">
        <v>6</v>
      </c>
      <c r="H238" s="4" t="s">
        <v>343</v>
      </c>
      <c r="J238" s="16" t="s">
        <v>344</v>
      </c>
      <c r="K238" s="15" t="s">
        <v>354</v>
      </c>
    </row>
    <row r="239" spans="1:11" x14ac:dyDescent="0.3">
      <c r="A239" s="9" t="str">
        <f t="shared" si="31"/>
        <v>04.06.2019</v>
      </c>
      <c r="B239" s="12"/>
      <c r="C239" s="11"/>
      <c r="D239" s="11"/>
      <c r="E239" s="3"/>
      <c r="F239" s="3"/>
      <c r="G239" s="3">
        <v>7</v>
      </c>
      <c r="H239" s="4" t="s">
        <v>345</v>
      </c>
      <c r="J239" s="16" t="s">
        <v>346</v>
      </c>
      <c r="K239" s="15" t="s">
        <v>355</v>
      </c>
    </row>
    <row r="240" spans="1:11" x14ac:dyDescent="0.3">
      <c r="A240" s="9" t="str">
        <f t="shared" si="31"/>
        <v>04.06.2019</v>
      </c>
      <c r="B240" s="12"/>
      <c r="C240" s="11"/>
      <c r="D240" s="11"/>
      <c r="E240" s="3"/>
      <c r="F240" s="3"/>
      <c r="G240" s="3">
        <v>8</v>
      </c>
      <c r="H240" s="4" t="s">
        <v>347</v>
      </c>
      <c r="J240" s="16" t="s">
        <v>348</v>
      </c>
      <c r="K240" s="15" t="s">
        <v>356</v>
      </c>
    </row>
    <row r="241" spans="1:11" x14ac:dyDescent="0.3">
      <c r="A241" s="9" t="str">
        <f>"10.05.2019"</f>
        <v>10.05.2019</v>
      </c>
      <c r="B241" s="12" t="s">
        <v>358</v>
      </c>
      <c r="C241" s="11"/>
      <c r="D241" s="11"/>
      <c r="E241" s="3"/>
      <c r="F241" s="3"/>
      <c r="G241" s="3">
        <v>1</v>
      </c>
      <c r="H241" s="4" t="s">
        <v>359</v>
      </c>
      <c r="J241" s="16" t="s">
        <v>360</v>
      </c>
      <c r="K241" s="15" t="s">
        <v>377</v>
      </c>
    </row>
    <row r="242" spans="1:11" x14ac:dyDescent="0.3">
      <c r="A242" s="9" t="str">
        <f t="shared" ref="A242:A252" si="32">"10.05.2019"</f>
        <v>10.05.2019</v>
      </c>
      <c r="B242" s="12"/>
      <c r="C242" s="11"/>
      <c r="D242" s="11"/>
      <c r="E242" s="3"/>
      <c r="F242" s="3"/>
      <c r="G242" s="3">
        <v>2</v>
      </c>
      <c r="H242" s="4" t="s">
        <v>361</v>
      </c>
      <c r="J242" s="16" t="s">
        <v>362</v>
      </c>
      <c r="K242" s="15" t="s">
        <v>379</v>
      </c>
    </row>
    <row r="243" spans="1:11" x14ac:dyDescent="0.3">
      <c r="A243" s="9" t="str">
        <f t="shared" si="32"/>
        <v>10.05.2019</v>
      </c>
      <c r="B243" s="12"/>
      <c r="C243" s="11"/>
      <c r="D243" s="11"/>
      <c r="E243" s="3"/>
      <c r="F243" s="3"/>
      <c r="G243" s="3">
        <v>3</v>
      </c>
      <c r="H243" s="4" t="s">
        <v>363</v>
      </c>
      <c r="J243" s="16" t="s">
        <v>364</v>
      </c>
      <c r="K243" s="15" t="s">
        <v>380</v>
      </c>
    </row>
    <row r="244" spans="1:11" x14ac:dyDescent="0.3">
      <c r="A244" s="9" t="str">
        <f t="shared" si="32"/>
        <v>10.05.2019</v>
      </c>
      <c r="B244" s="12"/>
      <c r="C244" s="11"/>
      <c r="D244" s="11"/>
      <c r="E244" s="3"/>
      <c r="F244" s="3"/>
      <c r="G244" s="3">
        <v>4</v>
      </c>
      <c r="H244" s="4" t="s">
        <v>365</v>
      </c>
      <c r="J244" s="16" t="s">
        <v>366</v>
      </c>
      <c r="K244" s="15" t="s">
        <v>381</v>
      </c>
    </row>
    <row r="245" spans="1:11" x14ac:dyDescent="0.3">
      <c r="A245" s="9" t="str">
        <f t="shared" si="32"/>
        <v>10.05.2019</v>
      </c>
      <c r="B245" s="12"/>
      <c r="C245" s="11"/>
      <c r="D245" s="11"/>
      <c r="E245" s="3"/>
      <c r="F245" s="3"/>
      <c r="G245" s="3">
        <v>5</v>
      </c>
      <c r="H245" s="4" t="s">
        <v>367</v>
      </c>
      <c r="J245" s="16" t="s">
        <v>368</v>
      </c>
      <c r="K245" s="15" t="s">
        <v>382</v>
      </c>
    </row>
    <row r="246" spans="1:11" x14ac:dyDescent="0.3">
      <c r="A246" s="9" t="str">
        <f t="shared" si="32"/>
        <v>10.05.2019</v>
      </c>
      <c r="B246" s="12"/>
      <c r="C246" s="11"/>
      <c r="D246" s="11"/>
      <c r="E246" s="3"/>
      <c r="F246" s="3"/>
      <c r="G246" s="3">
        <v>6</v>
      </c>
      <c r="H246" s="4" t="s">
        <v>369</v>
      </c>
      <c r="J246" s="16" t="s">
        <v>370</v>
      </c>
      <c r="K246" s="15" t="s">
        <v>383</v>
      </c>
    </row>
    <row r="247" spans="1:11" x14ac:dyDescent="0.3">
      <c r="A247" s="9" t="str">
        <f t="shared" si="32"/>
        <v>10.05.2019</v>
      </c>
      <c r="B247" s="12"/>
      <c r="C247" s="11"/>
      <c r="D247" s="11"/>
      <c r="E247" s="3"/>
      <c r="F247" s="3"/>
      <c r="G247" s="3">
        <v>7</v>
      </c>
      <c r="H247" s="4" t="s">
        <v>305</v>
      </c>
      <c r="J247" s="16" t="s">
        <v>371</v>
      </c>
      <c r="K247" s="15" t="s">
        <v>384</v>
      </c>
    </row>
    <row r="248" spans="1:11" x14ac:dyDescent="0.3">
      <c r="A248" s="9" t="str">
        <f t="shared" si="32"/>
        <v>10.05.2019</v>
      </c>
      <c r="B248" s="12"/>
      <c r="C248" s="11"/>
      <c r="D248" s="11"/>
      <c r="E248" s="3"/>
      <c r="F248" s="3"/>
      <c r="G248" s="3">
        <v>8</v>
      </c>
      <c r="H248" s="4" t="s">
        <v>372</v>
      </c>
      <c r="J248" s="16" t="s">
        <v>373</v>
      </c>
      <c r="K248" s="15" t="s">
        <v>385</v>
      </c>
    </row>
    <row r="249" spans="1:11" x14ac:dyDescent="0.3">
      <c r="A249" s="9" t="str">
        <f t="shared" si="32"/>
        <v>10.05.2019</v>
      </c>
      <c r="B249" s="12"/>
      <c r="C249" s="11"/>
      <c r="D249" s="11"/>
      <c r="E249" s="3"/>
      <c r="F249" s="3"/>
      <c r="G249" s="3">
        <v>9</v>
      </c>
      <c r="H249" s="4" t="s">
        <v>374</v>
      </c>
      <c r="J249" s="16" t="s">
        <v>373</v>
      </c>
      <c r="K249" s="15" t="s">
        <v>386</v>
      </c>
    </row>
    <row r="250" spans="1:11" x14ac:dyDescent="0.3">
      <c r="A250" s="9" t="str">
        <f t="shared" si="32"/>
        <v>10.05.2019</v>
      </c>
      <c r="B250" s="12"/>
      <c r="C250" s="11"/>
      <c r="D250" s="11"/>
      <c r="E250" s="3"/>
      <c r="F250" s="3"/>
      <c r="G250" s="3">
        <v>10</v>
      </c>
      <c r="H250" s="4" t="s">
        <v>375</v>
      </c>
      <c r="J250" s="16" t="s">
        <v>373</v>
      </c>
      <c r="K250" s="15" t="s">
        <v>378</v>
      </c>
    </row>
    <row r="251" spans="1:11" x14ac:dyDescent="0.3">
      <c r="A251" s="9" t="str">
        <f t="shared" si="32"/>
        <v>10.05.2019</v>
      </c>
      <c r="B251" s="12"/>
      <c r="C251" s="11"/>
      <c r="D251" s="11"/>
      <c r="E251" s="3"/>
      <c r="F251" s="3"/>
      <c r="G251" s="3">
        <v>11</v>
      </c>
      <c r="H251" s="4" t="s">
        <v>376</v>
      </c>
      <c r="J251" s="16" t="s">
        <v>373</v>
      </c>
    </row>
    <row r="252" spans="1:11" x14ac:dyDescent="0.3">
      <c r="A252" s="9" t="str">
        <f t="shared" si="32"/>
        <v>10.05.2019</v>
      </c>
      <c r="B252" s="12"/>
      <c r="C252" s="11"/>
      <c r="D252" s="11"/>
      <c r="E252" s="3"/>
      <c r="F252" s="3"/>
      <c r="G252" s="3">
        <v>12</v>
      </c>
      <c r="H252" s="4" t="s">
        <v>0</v>
      </c>
      <c r="J252" s="16" t="s">
        <v>373</v>
      </c>
    </row>
    <row r="253" spans="1:11" x14ac:dyDescent="0.3">
      <c r="A253" s="9" t="str">
        <f>"27.06.2018"</f>
        <v>27.06.2018</v>
      </c>
      <c r="B253" s="12" t="s">
        <v>387</v>
      </c>
      <c r="C253" s="11"/>
      <c r="D253" s="11"/>
      <c r="E253" s="3"/>
      <c r="F253" s="3"/>
      <c r="G253" s="3">
        <v>1</v>
      </c>
      <c r="H253" s="4" t="s">
        <v>27</v>
      </c>
      <c r="J253" s="14" t="s">
        <v>400</v>
      </c>
      <c r="K253" s="15" t="s">
        <v>53</v>
      </c>
    </row>
    <row r="254" spans="1:11" x14ac:dyDescent="0.3">
      <c r="A254" s="9" t="str">
        <f t="shared" ref="A254:A261" si="33">"27.06.2018"</f>
        <v>27.06.2018</v>
      </c>
      <c r="B254" s="12"/>
      <c r="C254" s="11"/>
      <c r="D254" s="11"/>
      <c r="E254" s="3"/>
      <c r="F254" s="3"/>
      <c r="G254" s="3">
        <v>2</v>
      </c>
      <c r="H254" s="4" t="s">
        <v>388</v>
      </c>
      <c r="J254" s="16" t="s">
        <v>389</v>
      </c>
      <c r="K254" s="15" t="s">
        <v>54</v>
      </c>
    </row>
    <row r="255" spans="1:11" x14ac:dyDescent="0.3">
      <c r="A255" s="9" t="str">
        <f t="shared" si="33"/>
        <v>27.06.2018</v>
      </c>
      <c r="B255" s="12"/>
      <c r="C255" s="11"/>
      <c r="D255" s="11"/>
      <c r="E255" s="3"/>
      <c r="F255" s="3"/>
      <c r="G255" s="3">
        <v>3</v>
      </c>
      <c r="H255" s="4" t="s">
        <v>336</v>
      </c>
      <c r="J255" s="16" t="s">
        <v>390</v>
      </c>
      <c r="K255" s="15" t="s">
        <v>402</v>
      </c>
    </row>
    <row r="256" spans="1:11" x14ac:dyDescent="0.3">
      <c r="A256" s="9" t="str">
        <f t="shared" si="33"/>
        <v>27.06.2018</v>
      </c>
      <c r="B256" s="12"/>
      <c r="C256" s="11"/>
      <c r="D256" s="11"/>
      <c r="E256" s="3"/>
      <c r="F256" s="3"/>
      <c r="G256" s="3">
        <v>4</v>
      </c>
      <c r="H256" s="4" t="s">
        <v>391</v>
      </c>
      <c r="J256" s="16" t="s">
        <v>392</v>
      </c>
      <c r="K256" s="15" t="s">
        <v>403</v>
      </c>
    </row>
    <row r="257" spans="1:11" x14ac:dyDescent="0.3">
      <c r="A257" s="9" t="str">
        <f t="shared" si="33"/>
        <v>27.06.2018</v>
      </c>
      <c r="B257" s="12"/>
      <c r="C257" s="11"/>
      <c r="D257" s="11"/>
      <c r="E257" s="3"/>
      <c r="F257" s="3"/>
      <c r="G257" s="3">
        <v>5</v>
      </c>
      <c r="H257" s="4" t="s">
        <v>0</v>
      </c>
      <c r="J257" s="16" t="s">
        <v>393</v>
      </c>
      <c r="K257" s="15" t="s">
        <v>404</v>
      </c>
    </row>
    <row r="258" spans="1:11" x14ac:dyDescent="0.3">
      <c r="A258" s="9" t="str">
        <f t="shared" si="33"/>
        <v>27.06.2018</v>
      </c>
      <c r="B258" s="12"/>
      <c r="C258" s="11"/>
      <c r="D258" s="11"/>
      <c r="E258" s="3"/>
      <c r="F258" s="3"/>
      <c r="G258" s="3">
        <v>6</v>
      </c>
      <c r="H258" s="4" t="s">
        <v>394</v>
      </c>
      <c r="J258" s="16" t="s">
        <v>395</v>
      </c>
      <c r="K258" s="15" t="s">
        <v>405</v>
      </c>
    </row>
    <row r="259" spans="1:11" x14ac:dyDescent="0.3">
      <c r="A259" s="9" t="str">
        <f t="shared" si="33"/>
        <v>27.06.2018</v>
      </c>
      <c r="B259" s="12"/>
      <c r="C259" s="11"/>
      <c r="D259" s="11"/>
      <c r="E259" s="3"/>
      <c r="F259" s="3"/>
      <c r="G259" s="3">
        <v>7</v>
      </c>
      <c r="H259" s="4" t="s">
        <v>396</v>
      </c>
      <c r="J259" s="16" t="s">
        <v>397</v>
      </c>
      <c r="K259" s="15" t="s">
        <v>406</v>
      </c>
    </row>
    <row r="260" spans="1:11" x14ac:dyDescent="0.3">
      <c r="A260" s="9" t="str">
        <f t="shared" si="33"/>
        <v>27.06.2018</v>
      </c>
      <c r="B260" s="12"/>
      <c r="C260" s="11"/>
      <c r="D260" s="11"/>
      <c r="E260" s="3"/>
      <c r="F260" s="3"/>
      <c r="G260" s="3">
        <v>8</v>
      </c>
      <c r="H260" s="4" t="s">
        <v>97</v>
      </c>
      <c r="J260" s="16" t="s">
        <v>398</v>
      </c>
      <c r="K260" s="15" t="s">
        <v>407</v>
      </c>
    </row>
    <row r="261" spans="1:11" x14ac:dyDescent="0.3">
      <c r="A261" s="9" t="str">
        <f t="shared" si="33"/>
        <v>27.06.2018</v>
      </c>
      <c r="B261" s="12"/>
      <c r="C261" s="11"/>
      <c r="D261" s="11"/>
      <c r="E261" s="3"/>
      <c r="F261" s="3"/>
      <c r="G261" s="3">
        <v>9</v>
      </c>
      <c r="H261" s="4" t="s">
        <v>401</v>
      </c>
      <c r="J261" s="14" t="s">
        <v>399</v>
      </c>
      <c r="K261" s="15" t="s">
        <v>408</v>
      </c>
    </row>
    <row r="262" spans="1:11" x14ac:dyDescent="0.3">
      <c r="A262" s="9" t="str">
        <f>"26.06.2018"</f>
        <v>26.06.2018</v>
      </c>
      <c r="B262" s="12" t="s">
        <v>409</v>
      </c>
      <c r="C262" s="11"/>
      <c r="D262" s="11"/>
      <c r="E262" s="3"/>
      <c r="F262" s="3"/>
      <c r="G262" s="3">
        <v>1</v>
      </c>
      <c r="H262" s="4" t="s">
        <v>338</v>
      </c>
      <c r="J262" s="14" t="s">
        <v>411</v>
      </c>
      <c r="K262" s="15" t="s">
        <v>414</v>
      </c>
    </row>
    <row r="263" spans="1:11" x14ac:dyDescent="0.3">
      <c r="A263" s="9" t="str">
        <f t="shared" ref="A263:A264" si="34">"26.06.2018"</f>
        <v>26.06.2018</v>
      </c>
      <c r="B263" s="12"/>
      <c r="C263" s="11"/>
      <c r="D263" s="11"/>
      <c r="E263" s="3"/>
      <c r="F263" s="3"/>
      <c r="G263" s="3">
        <v>2</v>
      </c>
      <c r="H263" s="4" t="s">
        <v>410</v>
      </c>
      <c r="J263" s="14" t="s">
        <v>412</v>
      </c>
      <c r="K263" s="15" t="s">
        <v>415</v>
      </c>
    </row>
    <row r="264" spans="1:11" x14ac:dyDescent="0.3">
      <c r="A264" s="9" t="str">
        <f t="shared" si="34"/>
        <v>26.06.2018</v>
      </c>
      <c r="B264" s="12"/>
      <c r="C264" s="11"/>
      <c r="D264" s="11"/>
      <c r="E264" s="3"/>
      <c r="F264" s="3"/>
      <c r="G264" s="3">
        <v>3</v>
      </c>
      <c r="H264" s="4" t="s">
        <v>41</v>
      </c>
      <c r="J264" s="14" t="s">
        <v>413</v>
      </c>
      <c r="K264" s="15" t="s">
        <v>416</v>
      </c>
    </row>
    <row r="265" spans="1:11" x14ac:dyDescent="0.3">
      <c r="A265" s="9" t="str">
        <f>"17.04.2018"</f>
        <v>17.04.2018</v>
      </c>
      <c r="B265" s="12" t="s">
        <v>417</v>
      </c>
      <c r="C265" s="11"/>
      <c r="D265" s="11"/>
      <c r="E265" s="3"/>
      <c r="F265" s="3"/>
      <c r="G265" s="3">
        <v>1</v>
      </c>
      <c r="H265" s="4" t="s">
        <v>418</v>
      </c>
      <c r="J265" s="14" t="s">
        <v>422</v>
      </c>
      <c r="K265" t="s">
        <v>427</v>
      </c>
    </row>
    <row r="266" spans="1:11" x14ac:dyDescent="0.3">
      <c r="A266" s="9" t="str">
        <f t="shared" ref="A266:A269" si="35">"17.04.2018"</f>
        <v>17.04.2018</v>
      </c>
      <c r="B266" s="12"/>
      <c r="C266" s="11"/>
      <c r="D266" s="11"/>
      <c r="E266" s="3"/>
      <c r="F266" s="3"/>
      <c r="G266" s="3">
        <v>2</v>
      </c>
      <c r="H266" s="4" t="s">
        <v>419</v>
      </c>
      <c r="J266" s="14" t="s">
        <v>423</v>
      </c>
      <c r="K266" t="s">
        <v>428</v>
      </c>
    </row>
    <row r="267" spans="1:11" x14ac:dyDescent="0.3">
      <c r="A267" s="9" t="str">
        <f t="shared" si="35"/>
        <v>17.04.2018</v>
      </c>
      <c r="B267" s="12"/>
      <c r="C267" s="11"/>
      <c r="D267" s="11"/>
      <c r="E267" s="3"/>
      <c r="F267" s="3"/>
      <c r="G267" s="3">
        <v>3</v>
      </c>
      <c r="H267" s="4" t="s">
        <v>420</v>
      </c>
      <c r="J267" s="14" t="s">
        <v>424</v>
      </c>
      <c r="K267" t="s">
        <v>429</v>
      </c>
    </row>
    <row r="268" spans="1:11" x14ac:dyDescent="0.3">
      <c r="A268" s="9" t="str">
        <f t="shared" si="35"/>
        <v>17.04.2018</v>
      </c>
      <c r="B268" s="12"/>
      <c r="C268" s="11"/>
      <c r="D268" s="11"/>
      <c r="E268" s="3"/>
      <c r="F268" s="3"/>
      <c r="G268" s="3">
        <v>4</v>
      </c>
      <c r="H268" s="4" t="s">
        <v>421</v>
      </c>
      <c r="J268" s="14" t="s">
        <v>425</v>
      </c>
      <c r="K268" t="s">
        <v>430</v>
      </c>
    </row>
    <row r="269" spans="1:11" x14ac:dyDescent="0.3">
      <c r="A269" s="9" t="str">
        <f t="shared" si="35"/>
        <v>17.04.2018</v>
      </c>
      <c r="B269" s="12"/>
      <c r="C269" s="11"/>
      <c r="D269" s="11"/>
      <c r="E269" s="3"/>
      <c r="F269" s="3"/>
      <c r="G269" s="3">
        <v>5</v>
      </c>
      <c r="H269" s="4" t="s">
        <v>10</v>
      </c>
      <c r="J269" s="14" t="s">
        <v>426</v>
      </c>
      <c r="K269" t="s">
        <v>431</v>
      </c>
    </row>
    <row r="270" spans="1:11" x14ac:dyDescent="0.3">
      <c r="A270" s="9" t="str">
        <f>"20.03.2018"</f>
        <v>20.03.2018</v>
      </c>
      <c r="B270" s="12" t="s">
        <v>432</v>
      </c>
      <c r="C270" s="11"/>
      <c r="D270" s="11"/>
      <c r="E270" s="3"/>
      <c r="F270" s="3"/>
      <c r="G270" s="3">
        <v>1</v>
      </c>
      <c r="H270" s="4" t="s">
        <v>433</v>
      </c>
      <c r="J270" s="14" t="s">
        <v>434</v>
      </c>
      <c r="K270" t="s">
        <v>439</v>
      </c>
    </row>
    <row r="271" spans="1:11" x14ac:dyDescent="0.3">
      <c r="A271" s="9" t="str">
        <f t="shared" ref="A271:A272" si="36">"20.03.2018"</f>
        <v>20.03.2018</v>
      </c>
      <c r="B271" s="12"/>
      <c r="C271" s="11"/>
      <c r="D271" s="11"/>
      <c r="E271" s="3"/>
      <c r="F271" s="3"/>
      <c r="G271" s="3">
        <v>2</v>
      </c>
      <c r="H271" s="4" t="s">
        <v>435</v>
      </c>
      <c r="J271" s="14" t="s">
        <v>436</v>
      </c>
      <c r="K271" t="s">
        <v>440</v>
      </c>
    </row>
    <row r="272" spans="1:11" x14ac:dyDescent="0.3">
      <c r="A272" s="9" t="str">
        <f t="shared" si="36"/>
        <v>20.03.2018</v>
      </c>
      <c r="B272" s="12"/>
      <c r="C272" s="11"/>
      <c r="D272" s="11"/>
      <c r="E272" s="3"/>
      <c r="F272" s="3"/>
      <c r="G272" s="3">
        <v>3</v>
      </c>
      <c r="H272" s="4" t="s">
        <v>437</v>
      </c>
      <c r="J272" s="14" t="s">
        <v>438</v>
      </c>
      <c r="K272" t="s">
        <v>441</v>
      </c>
    </row>
    <row r="273" spans="1:11" x14ac:dyDescent="0.3">
      <c r="A273" s="9" t="str">
        <f>"14.11.2017"</f>
        <v>14.11.2017</v>
      </c>
      <c r="B273" s="12" t="s">
        <v>442</v>
      </c>
      <c r="C273" s="11"/>
      <c r="D273" s="11"/>
      <c r="E273" s="11"/>
      <c r="F273" s="11"/>
      <c r="G273" s="3">
        <v>1</v>
      </c>
      <c r="H273" s="4" t="s">
        <v>886</v>
      </c>
      <c r="I273" s="4" t="s">
        <v>887</v>
      </c>
      <c r="J273" s="1" t="s">
        <v>888</v>
      </c>
      <c r="K273" s="15"/>
    </row>
    <row r="274" spans="1:11" x14ac:dyDescent="0.3">
      <c r="A274" s="9" t="str">
        <f>"14.11.2017"</f>
        <v>14.11.2017</v>
      </c>
      <c r="B274" s="12"/>
      <c r="C274" s="11"/>
      <c r="D274" s="11"/>
      <c r="E274" s="11"/>
      <c r="F274" s="11"/>
      <c r="G274" s="3">
        <v>2</v>
      </c>
      <c r="H274" s="4" t="s">
        <v>889</v>
      </c>
      <c r="I274" s="4" t="s">
        <v>69</v>
      </c>
      <c r="J274" s="1" t="s">
        <v>890</v>
      </c>
      <c r="K274" s="15"/>
    </row>
    <row r="275" spans="1:11" x14ac:dyDescent="0.3">
      <c r="A275" s="9" t="str">
        <f>"14.11.2017"</f>
        <v>14.11.2017</v>
      </c>
      <c r="B275" s="12"/>
      <c r="C275" s="11"/>
      <c r="D275" s="11"/>
      <c r="E275" s="11"/>
      <c r="F275" s="11"/>
      <c r="G275" s="3">
        <v>3</v>
      </c>
      <c r="H275" s="4" t="s">
        <v>120</v>
      </c>
      <c r="I275" s="4" t="s">
        <v>66</v>
      </c>
      <c r="J275" s="1" t="s">
        <v>891</v>
      </c>
      <c r="K275" s="15"/>
    </row>
    <row r="276" spans="1:11" x14ac:dyDescent="0.3">
      <c r="A276" s="9" t="str">
        <f>"11.09.2017"</f>
        <v>11.09.2017</v>
      </c>
      <c r="B276" s="12" t="s">
        <v>443</v>
      </c>
      <c r="C276" s="11"/>
      <c r="D276" s="11"/>
      <c r="E276" s="11"/>
      <c r="F276" s="11"/>
      <c r="G276" s="3">
        <v>1</v>
      </c>
      <c r="H276" s="4" t="s">
        <v>892</v>
      </c>
      <c r="I276" s="4" t="s">
        <v>896</v>
      </c>
      <c r="J276" s="1" t="s">
        <v>898</v>
      </c>
      <c r="K276" s="15"/>
    </row>
    <row r="277" spans="1:11" x14ac:dyDescent="0.3">
      <c r="A277" s="9" t="str">
        <f t="shared" ref="A277:A283" si="37">"11.09.2017"</f>
        <v>11.09.2017</v>
      </c>
      <c r="B277" s="12"/>
      <c r="C277" s="11"/>
      <c r="D277" s="11"/>
      <c r="E277" s="11"/>
      <c r="F277" s="11"/>
      <c r="G277" s="3">
        <v>2</v>
      </c>
      <c r="H277" s="4" t="s">
        <v>893</v>
      </c>
      <c r="I277" s="4" t="s">
        <v>902</v>
      </c>
      <c r="J277" s="1" t="s">
        <v>899</v>
      </c>
      <c r="K277" s="15"/>
    </row>
    <row r="278" spans="1:11" x14ac:dyDescent="0.3">
      <c r="A278" s="9" t="str">
        <f t="shared" si="37"/>
        <v>11.09.2017</v>
      </c>
      <c r="B278" s="12"/>
      <c r="C278" s="11"/>
      <c r="D278" s="11"/>
      <c r="E278" s="11"/>
      <c r="F278" s="11"/>
      <c r="G278" s="3">
        <v>3</v>
      </c>
      <c r="H278" s="4" t="s">
        <v>894</v>
      </c>
      <c r="I278" s="4" t="s">
        <v>69</v>
      </c>
      <c r="J278" s="1" t="s">
        <v>900</v>
      </c>
      <c r="K278" s="15"/>
    </row>
    <row r="279" spans="1:11" x14ac:dyDescent="0.3">
      <c r="A279" s="9" t="str">
        <f t="shared" si="37"/>
        <v>11.09.2017</v>
      </c>
      <c r="B279" s="12"/>
      <c r="C279" s="11"/>
      <c r="D279" s="11"/>
      <c r="E279" s="11"/>
      <c r="F279" s="11"/>
      <c r="G279" s="3">
        <v>4</v>
      </c>
      <c r="H279" s="4" t="s">
        <v>895</v>
      </c>
      <c r="I279" s="4" t="s">
        <v>66</v>
      </c>
      <c r="J279" s="1" t="s">
        <v>901</v>
      </c>
      <c r="K279" s="15"/>
    </row>
    <row r="280" spans="1:11" x14ac:dyDescent="0.3">
      <c r="A280" s="9" t="str">
        <f t="shared" si="37"/>
        <v>11.09.2017</v>
      </c>
      <c r="B280" s="12"/>
      <c r="C280" s="11"/>
      <c r="D280" s="11"/>
      <c r="E280" s="11"/>
      <c r="F280" s="11"/>
      <c r="G280" s="3">
        <v>5</v>
      </c>
      <c r="H280" s="4" t="s">
        <v>892</v>
      </c>
      <c r="I280" s="4" t="s">
        <v>896</v>
      </c>
      <c r="J280" s="1" t="s">
        <v>907</v>
      </c>
      <c r="K280" s="15"/>
    </row>
    <row r="281" spans="1:11" x14ac:dyDescent="0.3">
      <c r="A281" s="9" t="str">
        <f t="shared" si="37"/>
        <v>11.09.2017</v>
      </c>
      <c r="B281" s="12"/>
      <c r="C281" s="11"/>
      <c r="D281" s="11"/>
      <c r="E281" s="11"/>
      <c r="F281" s="11"/>
      <c r="G281" s="3">
        <v>6</v>
      </c>
      <c r="H281" s="4" t="s">
        <v>905</v>
      </c>
      <c r="I281" s="4" t="s">
        <v>903</v>
      </c>
      <c r="J281" s="1" t="s">
        <v>908</v>
      </c>
      <c r="K281" s="15"/>
    </row>
    <row r="282" spans="1:11" x14ac:dyDescent="0.3">
      <c r="A282" s="9" t="str">
        <f t="shared" si="37"/>
        <v>11.09.2017</v>
      </c>
      <c r="B282" s="12"/>
      <c r="C282" s="11"/>
      <c r="D282" s="11"/>
      <c r="E282" s="11"/>
      <c r="F282" s="11"/>
      <c r="G282" s="3">
        <v>7</v>
      </c>
      <c r="H282" s="4" t="s">
        <v>367</v>
      </c>
      <c r="I282" s="4" t="s">
        <v>69</v>
      </c>
      <c r="J282" s="1" t="s">
        <v>909</v>
      </c>
      <c r="K282" s="15"/>
    </row>
    <row r="283" spans="1:11" x14ac:dyDescent="0.3">
      <c r="A283" s="9" t="str">
        <f t="shared" si="37"/>
        <v>11.09.2017</v>
      </c>
      <c r="B283" s="12"/>
      <c r="C283" s="11"/>
      <c r="D283" s="11"/>
      <c r="E283" s="11"/>
      <c r="F283" s="11"/>
      <c r="G283" s="3">
        <v>8</v>
      </c>
      <c r="H283" s="4" t="s">
        <v>906</v>
      </c>
      <c r="I283" s="4" t="s">
        <v>904</v>
      </c>
      <c r="J283" s="1" t="s">
        <v>910</v>
      </c>
      <c r="K283" s="15"/>
    </row>
    <row r="284" spans="1:11" x14ac:dyDescent="0.3">
      <c r="A284" s="9" t="str">
        <f>"26.06.2017"</f>
        <v>26.06.2017</v>
      </c>
      <c r="B284" s="12" t="s">
        <v>470</v>
      </c>
      <c r="C284" s="11"/>
      <c r="D284" s="11"/>
      <c r="E284" s="11"/>
      <c r="F284" s="11"/>
      <c r="G284" s="3">
        <v>1</v>
      </c>
      <c r="H284" s="4" t="s">
        <v>448</v>
      </c>
      <c r="I284" s="4"/>
      <c r="J284" s="1" t="s">
        <v>471</v>
      </c>
      <c r="K284" s="15" t="s">
        <v>476</v>
      </c>
    </row>
    <row r="285" spans="1:11" x14ac:dyDescent="0.3">
      <c r="A285" s="9" t="str">
        <f t="shared" ref="A285:A286" si="38">"26.06.2017"</f>
        <v>26.06.2017</v>
      </c>
      <c r="B285" s="12"/>
      <c r="C285" s="11"/>
      <c r="D285" s="11"/>
      <c r="E285" s="11"/>
      <c r="F285" s="11"/>
      <c r="G285" s="3">
        <v>2</v>
      </c>
      <c r="H285" s="4" t="s">
        <v>472</v>
      </c>
      <c r="I285" s="4"/>
      <c r="J285" s="1" t="s">
        <v>473</v>
      </c>
      <c r="K285" t="s">
        <v>477</v>
      </c>
    </row>
    <row r="286" spans="1:11" x14ac:dyDescent="0.3">
      <c r="A286" s="9" t="str">
        <f t="shared" si="38"/>
        <v>26.06.2017</v>
      </c>
      <c r="B286" s="12"/>
      <c r="C286" s="11"/>
      <c r="D286" s="11"/>
      <c r="E286" s="11"/>
      <c r="F286" s="11"/>
      <c r="G286" s="3">
        <v>3</v>
      </c>
      <c r="H286" s="4" t="s">
        <v>474</v>
      </c>
      <c r="I286" s="4"/>
      <c r="J286" s="1" t="s">
        <v>475</v>
      </c>
      <c r="K286" t="s">
        <v>478</v>
      </c>
    </row>
    <row r="287" spans="1:11" x14ac:dyDescent="0.3">
      <c r="A287" s="9" t="str">
        <f t="shared" ref="A287:A295" si="39">"15.06.2017"</f>
        <v>15.06.2017</v>
      </c>
      <c r="B287" s="12" t="s">
        <v>444</v>
      </c>
      <c r="C287" s="11"/>
      <c r="D287" s="11"/>
      <c r="E287" s="3"/>
      <c r="F287" s="3"/>
      <c r="G287" s="3">
        <v>1</v>
      </c>
      <c r="H287" s="4" t="s">
        <v>445</v>
      </c>
      <c r="J287" s="14" t="s">
        <v>446</v>
      </c>
      <c r="K287" t="s">
        <v>461</v>
      </c>
    </row>
    <row r="288" spans="1:11" x14ac:dyDescent="0.3">
      <c r="A288" s="9" t="str">
        <f t="shared" si="39"/>
        <v>15.06.2017</v>
      </c>
      <c r="B288" s="12"/>
      <c r="C288" s="11"/>
      <c r="D288" s="11"/>
      <c r="E288" s="3"/>
      <c r="F288" s="3"/>
      <c r="G288" s="3">
        <v>2</v>
      </c>
      <c r="H288" s="4" t="s">
        <v>447</v>
      </c>
      <c r="J288" s="14" t="s">
        <v>454</v>
      </c>
      <c r="K288" t="s">
        <v>462</v>
      </c>
    </row>
    <row r="289" spans="1:11" x14ac:dyDescent="0.3">
      <c r="A289" s="9" t="str">
        <f t="shared" si="39"/>
        <v>15.06.2017</v>
      </c>
      <c r="B289" s="12"/>
      <c r="C289" s="11"/>
      <c r="D289" s="11"/>
      <c r="E289" s="3"/>
      <c r="F289" s="3"/>
      <c r="G289" s="3">
        <v>3</v>
      </c>
      <c r="H289" s="4" t="s">
        <v>448</v>
      </c>
      <c r="J289" s="14" t="s">
        <v>455</v>
      </c>
      <c r="K289" t="s">
        <v>463</v>
      </c>
    </row>
    <row r="290" spans="1:11" x14ac:dyDescent="0.3">
      <c r="A290" s="9" t="str">
        <f t="shared" si="39"/>
        <v>15.06.2017</v>
      </c>
      <c r="B290" s="12"/>
      <c r="C290" s="11"/>
      <c r="D290" s="11"/>
      <c r="E290" s="3"/>
      <c r="F290" s="3"/>
      <c r="G290" s="3">
        <v>4</v>
      </c>
      <c r="H290" s="4" t="s">
        <v>449</v>
      </c>
      <c r="J290" s="14" t="s">
        <v>456</v>
      </c>
      <c r="K290" t="s">
        <v>464</v>
      </c>
    </row>
    <row r="291" spans="1:11" x14ac:dyDescent="0.3">
      <c r="A291" s="9" t="str">
        <f t="shared" si="39"/>
        <v>15.06.2017</v>
      </c>
      <c r="B291" s="12"/>
      <c r="C291" s="11"/>
      <c r="D291" s="11"/>
      <c r="E291" s="3"/>
      <c r="F291" s="3"/>
      <c r="G291" s="3">
        <v>5</v>
      </c>
      <c r="H291" s="4" t="s">
        <v>121</v>
      </c>
      <c r="J291" s="14" t="s">
        <v>453</v>
      </c>
      <c r="K291" t="s">
        <v>465</v>
      </c>
    </row>
    <row r="292" spans="1:11" x14ac:dyDescent="0.3">
      <c r="A292" s="9" t="str">
        <f t="shared" si="39"/>
        <v>15.06.2017</v>
      </c>
      <c r="B292" s="12"/>
      <c r="C292" s="11"/>
      <c r="D292" s="11"/>
      <c r="E292" s="3"/>
      <c r="F292" s="3"/>
      <c r="G292" s="3">
        <v>6</v>
      </c>
      <c r="H292" s="4" t="s">
        <v>450</v>
      </c>
      <c r="J292" s="14" t="s">
        <v>457</v>
      </c>
      <c r="K292" t="s">
        <v>466</v>
      </c>
    </row>
    <row r="293" spans="1:11" x14ac:dyDescent="0.3">
      <c r="A293" s="9" t="str">
        <f t="shared" si="39"/>
        <v>15.06.2017</v>
      </c>
      <c r="B293" s="12"/>
      <c r="C293" s="11"/>
      <c r="D293" s="11"/>
      <c r="E293" s="3"/>
      <c r="F293" s="3"/>
      <c r="G293" s="3">
        <v>7</v>
      </c>
      <c r="H293" s="4" t="s">
        <v>451</v>
      </c>
      <c r="J293" s="14" t="s">
        <v>458</v>
      </c>
      <c r="K293" t="s">
        <v>467</v>
      </c>
    </row>
    <row r="294" spans="1:11" x14ac:dyDescent="0.3">
      <c r="A294" s="9" t="str">
        <f t="shared" si="39"/>
        <v>15.06.2017</v>
      </c>
      <c r="B294" s="12"/>
      <c r="C294" s="11"/>
      <c r="D294" s="11"/>
      <c r="E294" s="3"/>
      <c r="F294" s="3"/>
      <c r="G294" s="3">
        <v>8</v>
      </c>
      <c r="H294" s="4" t="s">
        <v>209</v>
      </c>
      <c r="J294" s="14" t="s">
        <v>459</v>
      </c>
      <c r="K294" t="s">
        <v>468</v>
      </c>
    </row>
    <row r="295" spans="1:11" x14ac:dyDescent="0.3">
      <c r="A295" s="9" t="str">
        <f t="shared" si="39"/>
        <v>15.06.2017</v>
      </c>
      <c r="B295" s="12"/>
      <c r="C295" s="11"/>
      <c r="D295" s="11"/>
      <c r="E295" s="3"/>
      <c r="F295" s="3"/>
      <c r="G295" s="3">
        <v>9</v>
      </c>
      <c r="H295" s="4" t="s">
        <v>452</v>
      </c>
      <c r="J295" s="14" t="s">
        <v>460</v>
      </c>
      <c r="K295" t="s">
        <v>469</v>
      </c>
    </row>
    <row r="296" spans="1:11" x14ac:dyDescent="0.3">
      <c r="A296" s="9" t="str">
        <f>"05.05.2017"</f>
        <v>05.05.2017</v>
      </c>
      <c r="B296" s="12" t="s">
        <v>479</v>
      </c>
      <c r="C296" s="11"/>
      <c r="D296" s="11"/>
      <c r="E296" s="3"/>
      <c r="F296" s="3"/>
      <c r="G296" s="3">
        <v>1</v>
      </c>
      <c r="H296" s="4" t="s">
        <v>480</v>
      </c>
      <c r="J296" s="14" t="s">
        <v>490</v>
      </c>
      <c r="K296" t="s">
        <v>491</v>
      </c>
    </row>
    <row r="297" spans="1:11" x14ac:dyDescent="0.3">
      <c r="A297" s="9" t="str">
        <f t="shared" ref="A297:A301" si="40">"05.05.2017"</f>
        <v>05.05.2017</v>
      </c>
      <c r="B297" s="12"/>
      <c r="C297" s="11"/>
      <c r="D297" s="11"/>
      <c r="E297" s="3"/>
      <c r="F297" s="3"/>
      <c r="G297" s="3">
        <v>2</v>
      </c>
      <c r="H297" s="4" t="s">
        <v>481</v>
      </c>
      <c r="J297" s="14" t="s">
        <v>489</v>
      </c>
      <c r="K297" t="s">
        <v>492</v>
      </c>
    </row>
    <row r="298" spans="1:11" x14ac:dyDescent="0.3">
      <c r="A298" s="9" t="str">
        <f t="shared" si="40"/>
        <v>05.05.2017</v>
      </c>
      <c r="B298" s="12"/>
      <c r="C298" s="11"/>
      <c r="D298" s="11"/>
      <c r="E298" s="3"/>
      <c r="F298" s="3"/>
      <c r="G298" s="3">
        <v>3</v>
      </c>
      <c r="H298" s="4" t="s">
        <v>482</v>
      </c>
      <c r="J298" s="14" t="s">
        <v>488</v>
      </c>
      <c r="K298" t="s">
        <v>493</v>
      </c>
    </row>
    <row r="299" spans="1:11" x14ac:dyDescent="0.3">
      <c r="A299" s="9" t="str">
        <f t="shared" si="40"/>
        <v>05.05.2017</v>
      </c>
      <c r="B299" s="12"/>
      <c r="C299" s="11"/>
      <c r="D299" s="11"/>
      <c r="E299" s="3"/>
      <c r="F299" s="3"/>
      <c r="G299" s="3">
        <v>4</v>
      </c>
      <c r="H299" s="4" t="s">
        <v>483</v>
      </c>
      <c r="J299" s="14" t="s">
        <v>485</v>
      </c>
      <c r="K299" t="s">
        <v>494</v>
      </c>
    </row>
    <row r="300" spans="1:11" x14ac:dyDescent="0.3">
      <c r="A300" s="9" t="str">
        <f t="shared" si="40"/>
        <v>05.05.2017</v>
      </c>
      <c r="B300" s="12"/>
      <c r="C300" s="11"/>
      <c r="D300" s="11"/>
      <c r="E300" s="3"/>
      <c r="F300" s="3"/>
      <c r="G300" s="3">
        <v>5</v>
      </c>
      <c r="H300" s="4" t="s">
        <v>484</v>
      </c>
      <c r="J300" s="14" t="s">
        <v>486</v>
      </c>
      <c r="K300" t="s">
        <v>495</v>
      </c>
    </row>
    <row r="301" spans="1:11" x14ac:dyDescent="0.3">
      <c r="A301" s="9" t="str">
        <f t="shared" si="40"/>
        <v>05.05.2017</v>
      </c>
      <c r="B301" s="12"/>
      <c r="C301" s="11"/>
      <c r="D301" s="11"/>
      <c r="E301" s="3"/>
      <c r="F301" s="3"/>
      <c r="G301" s="3">
        <v>6</v>
      </c>
      <c r="H301" s="4" t="s">
        <v>10</v>
      </c>
      <c r="J301" s="14" t="s">
        <v>487</v>
      </c>
      <c r="K301" t="s">
        <v>496</v>
      </c>
    </row>
    <row r="302" spans="1:11" x14ac:dyDescent="0.3">
      <c r="A302" s="9" t="str">
        <f>"13.03.2017"</f>
        <v>13.03.2017</v>
      </c>
      <c r="B302" s="12" t="s">
        <v>497</v>
      </c>
      <c r="C302" s="11"/>
      <c r="D302" s="11"/>
      <c r="E302" s="3"/>
      <c r="F302" s="3"/>
      <c r="G302" s="3">
        <v>1</v>
      </c>
      <c r="H302" s="4" t="s">
        <v>913</v>
      </c>
      <c r="I302" s="8" t="s">
        <v>914</v>
      </c>
      <c r="J302" s="14" t="s">
        <v>911</v>
      </c>
      <c r="K302"/>
    </row>
    <row r="303" spans="1:11" x14ac:dyDescent="0.3">
      <c r="A303" s="9" t="str">
        <f>"13.03.2017"</f>
        <v>13.03.2017</v>
      </c>
      <c r="B303" s="12"/>
      <c r="C303" s="11"/>
      <c r="D303" s="11"/>
      <c r="E303" s="3"/>
      <c r="F303" s="3"/>
      <c r="G303" s="3">
        <v>2</v>
      </c>
      <c r="H303" s="4" t="s">
        <v>177</v>
      </c>
      <c r="I303" s="8" t="s">
        <v>66</v>
      </c>
      <c r="J303" s="14" t="s">
        <v>912</v>
      </c>
      <c r="K303" t="s">
        <v>915</v>
      </c>
    </row>
    <row r="304" spans="1:11" x14ac:dyDescent="0.3">
      <c r="A304" s="9" t="str">
        <f>"29.11.2016"</f>
        <v>29.11.2016</v>
      </c>
      <c r="B304" s="12" t="s">
        <v>498</v>
      </c>
      <c r="C304" s="11"/>
      <c r="D304" s="11"/>
      <c r="E304" s="3"/>
      <c r="F304" s="3"/>
      <c r="G304" s="3">
        <v>1</v>
      </c>
      <c r="H304" s="4" t="s">
        <v>499</v>
      </c>
      <c r="J304" s="14" t="s">
        <v>508</v>
      </c>
      <c r="K304" t="s">
        <v>509</v>
      </c>
    </row>
    <row r="305" spans="1:11" x14ac:dyDescent="0.3">
      <c r="A305" s="9" t="str">
        <f t="shared" ref="A305:A308" si="41">"29.11.2016"</f>
        <v>29.11.2016</v>
      </c>
      <c r="B305" s="12"/>
      <c r="C305" s="11"/>
      <c r="D305" s="11"/>
      <c r="E305" s="3"/>
      <c r="F305" s="3"/>
      <c r="G305" s="3">
        <v>2</v>
      </c>
      <c r="H305" s="4" t="s">
        <v>500</v>
      </c>
      <c r="J305" s="14" t="s">
        <v>507</v>
      </c>
      <c r="K305" t="s">
        <v>510</v>
      </c>
    </row>
    <row r="306" spans="1:11" x14ac:dyDescent="0.3">
      <c r="A306" s="9" t="str">
        <f t="shared" si="41"/>
        <v>29.11.2016</v>
      </c>
      <c r="B306" s="12"/>
      <c r="C306" s="11"/>
      <c r="D306" s="11"/>
      <c r="E306" s="3"/>
      <c r="F306" s="3"/>
      <c r="G306" s="3">
        <v>3</v>
      </c>
      <c r="H306" s="4" t="s">
        <v>501</v>
      </c>
      <c r="J306" s="14" t="s">
        <v>504</v>
      </c>
      <c r="K306" t="s">
        <v>511</v>
      </c>
    </row>
    <row r="307" spans="1:11" x14ac:dyDescent="0.3">
      <c r="A307" s="9" t="str">
        <f t="shared" si="41"/>
        <v>29.11.2016</v>
      </c>
      <c r="B307" s="12"/>
      <c r="C307" s="11"/>
      <c r="D307" s="11"/>
      <c r="E307" s="3"/>
      <c r="F307" s="3"/>
      <c r="G307" s="3">
        <v>4</v>
      </c>
      <c r="H307" s="4" t="s">
        <v>502</v>
      </c>
      <c r="J307" s="14" t="s">
        <v>505</v>
      </c>
      <c r="K307" t="s">
        <v>512</v>
      </c>
    </row>
    <row r="308" spans="1:11" x14ac:dyDescent="0.3">
      <c r="A308" s="9" t="str">
        <f t="shared" si="41"/>
        <v>29.11.2016</v>
      </c>
      <c r="B308" s="12"/>
      <c r="C308" s="11"/>
      <c r="D308" s="11"/>
      <c r="E308" s="3"/>
      <c r="F308" s="3"/>
      <c r="G308" s="3">
        <v>5</v>
      </c>
      <c r="H308" s="4" t="s">
        <v>503</v>
      </c>
      <c r="J308" s="14" t="s">
        <v>506</v>
      </c>
      <c r="K308" t="s">
        <v>513</v>
      </c>
    </row>
    <row r="309" spans="1:11" x14ac:dyDescent="0.3">
      <c r="A309" s="9" t="str">
        <f>"14.11.2016"</f>
        <v>14.11.2016</v>
      </c>
      <c r="B309" s="12" t="s">
        <v>514</v>
      </c>
      <c r="C309" s="11"/>
      <c r="D309" s="11"/>
      <c r="E309" s="3"/>
      <c r="F309" s="3"/>
      <c r="G309" s="3">
        <v>1</v>
      </c>
      <c r="H309" s="4" t="s">
        <v>916</v>
      </c>
      <c r="I309" s="8" t="s">
        <v>917</v>
      </c>
      <c r="J309" s="14" t="s">
        <v>918</v>
      </c>
      <c r="K309"/>
    </row>
    <row r="310" spans="1:11" x14ac:dyDescent="0.3">
      <c r="A310" s="9" t="str">
        <f t="shared" ref="A310:A312" si="42">"14.11.2016"</f>
        <v>14.11.2016</v>
      </c>
      <c r="B310" s="12"/>
      <c r="C310" s="11"/>
      <c r="D310" s="11"/>
      <c r="E310" s="3"/>
      <c r="F310" s="3"/>
      <c r="G310" s="3">
        <v>2</v>
      </c>
      <c r="H310" s="4" t="s">
        <v>919</v>
      </c>
      <c r="I310" s="8" t="s">
        <v>920</v>
      </c>
      <c r="J310" s="14" t="s">
        <v>921</v>
      </c>
      <c r="K310"/>
    </row>
    <row r="311" spans="1:11" x14ac:dyDescent="0.3">
      <c r="A311" s="9" t="str">
        <f t="shared" si="42"/>
        <v>14.11.2016</v>
      </c>
      <c r="B311" s="12"/>
      <c r="C311" s="11"/>
      <c r="D311" s="11"/>
      <c r="E311" s="3"/>
      <c r="F311" s="3"/>
      <c r="G311" s="3">
        <v>3</v>
      </c>
      <c r="H311" s="4" t="s">
        <v>922</v>
      </c>
      <c r="I311" s="8" t="s">
        <v>66</v>
      </c>
      <c r="J311" s="14" t="s">
        <v>923</v>
      </c>
      <c r="K311"/>
    </row>
    <row r="312" spans="1:11" x14ac:dyDescent="0.3">
      <c r="A312" s="9" t="str">
        <f t="shared" si="42"/>
        <v>14.11.2016</v>
      </c>
      <c r="B312" s="12"/>
      <c r="C312" s="11"/>
      <c r="D312" s="11"/>
      <c r="E312" s="3"/>
      <c r="F312" s="3"/>
      <c r="G312" s="3">
        <v>4</v>
      </c>
      <c r="H312" s="4" t="s">
        <v>651</v>
      </c>
      <c r="I312" s="8" t="s">
        <v>924</v>
      </c>
      <c r="J312" s="14" t="s">
        <v>925</v>
      </c>
      <c r="K312"/>
    </row>
    <row r="313" spans="1:11" x14ac:dyDescent="0.3">
      <c r="A313" s="9" t="str">
        <f>"17.10.2016"</f>
        <v>17.10.2016</v>
      </c>
      <c r="B313" s="12" t="s">
        <v>515</v>
      </c>
      <c r="C313" s="11"/>
      <c r="D313" s="11"/>
      <c r="E313" s="3"/>
      <c r="F313" s="3"/>
      <c r="G313" s="3">
        <v>1</v>
      </c>
      <c r="H313" s="4" t="s">
        <v>926</v>
      </c>
      <c r="I313" s="8" t="s">
        <v>927</v>
      </c>
      <c r="J313" s="14" t="s">
        <v>928</v>
      </c>
      <c r="K313"/>
    </row>
    <row r="314" spans="1:11" x14ac:dyDescent="0.3">
      <c r="A314" s="9" t="str">
        <f t="shared" ref="A314:A315" si="43">"17.10.2016"</f>
        <v>17.10.2016</v>
      </c>
      <c r="B314" s="12"/>
      <c r="C314" s="11"/>
      <c r="D314" s="11"/>
      <c r="E314" s="3"/>
      <c r="F314" s="3"/>
      <c r="G314" s="3">
        <v>2</v>
      </c>
      <c r="H314" s="4" t="s">
        <v>134</v>
      </c>
      <c r="I314" s="8" t="s">
        <v>69</v>
      </c>
      <c r="J314" s="14" t="s">
        <v>929</v>
      </c>
      <c r="K314"/>
    </row>
    <row r="315" spans="1:11" x14ac:dyDescent="0.3">
      <c r="A315" s="9" t="str">
        <f t="shared" si="43"/>
        <v>17.10.2016</v>
      </c>
      <c r="B315" s="12"/>
      <c r="C315" s="11"/>
      <c r="D315" s="11"/>
      <c r="E315" s="3"/>
      <c r="F315" s="3"/>
      <c r="G315" s="3">
        <v>3</v>
      </c>
      <c r="H315" s="4" t="s">
        <v>930</v>
      </c>
      <c r="I315" s="8" t="s">
        <v>66</v>
      </c>
      <c r="J315" s="14" t="s">
        <v>931</v>
      </c>
      <c r="K315"/>
    </row>
    <row r="316" spans="1:11" x14ac:dyDescent="0.3">
      <c r="A316" s="9" t="str">
        <f>"14.09.2016"</f>
        <v>14.09.2016</v>
      </c>
      <c r="B316" s="12" t="s">
        <v>517</v>
      </c>
      <c r="C316" s="11"/>
      <c r="D316" s="11"/>
      <c r="E316" s="3"/>
      <c r="F316" s="3"/>
      <c r="G316" s="3">
        <v>1</v>
      </c>
      <c r="H316" s="4" t="s">
        <v>932</v>
      </c>
      <c r="I316" s="8" t="s">
        <v>933</v>
      </c>
      <c r="J316" s="14" t="s">
        <v>934</v>
      </c>
      <c r="K316"/>
    </row>
    <row r="317" spans="1:11" x14ac:dyDescent="0.3">
      <c r="A317" s="9" t="str">
        <f t="shared" ref="A317:A321" si="44">"14.09.2016"</f>
        <v>14.09.2016</v>
      </c>
      <c r="B317" s="12"/>
      <c r="C317" s="11"/>
      <c r="D317" s="11"/>
      <c r="E317" s="3"/>
      <c r="F317" s="3"/>
      <c r="G317" s="3">
        <v>2</v>
      </c>
      <c r="H317" s="4" t="s">
        <v>935</v>
      </c>
      <c r="I317" s="8" t="s">
        <v>837</v>
      </c>
      <c r="J317" s="14" t="s">
        <v>936</v>
      </c>
      <c r="K317"/>
    </row>
    <row r="318" spans="1:11" x14ac:dyDescent="0.3">
      <c r="A318" s="9" t="str">
        <f t="shared" si="44"/>
        <v>14.09.2016</v>
      </c>
      <c r="B318" s="12"/>
      <c r="C318" s="11"/>
      <c r="D318" s="11"/>
      <c r="E318" s="3"/>
      <c r="F318" s="3"/>
      <c r="G318" s="3">
        <v>3</v>
      </c>
      <c r="H318" s="4" t="s">
        <v>937</v>
      </c>
      <c r="I318" s="8" t="s">
        <v>938</v>
      </c>
      <c r="J318" s="14" t="s">
        <v>939</v>
      </c>
      <c r="K318"/>
    </row>
    <row r="319" spans="1:11" x14ac:dyDescent="0.3">
      <c r="A319" s="9" t="str">
        <f t="shared" si="44"/>
        <v>14.09.2016</v>
      </c>
      <c r="B319" s="12"/>
      <c r="C319" s="11"/>
      <c r="D319" s="11"/>
      <c r="E319" s="3"/>
      <c r="F319" s="3"/>
      <c r="G319" s="3">
        <v>4</v>
      </c>
      <c r="H319" s="4" t="s">
        <v>940</v>
      </c>
      <c r="I319" s="8" t="s">
        <v>941</v>
      </c>
      <c r="J319" s="14" t="s">
        <v>942</v>
      </c>
      <c r="K319"/>
    </row>
    <row r="320" spans="1:11" x14ac:dyDescent="0.3">
      <c r="A320" s="9" t="str">
        <f t="shared" si="44"/>
        <v>14.09.2016</v>
      </c>
      <c r="B320" s="12"/>
      <c r="C320" s="11"/>
      <c r="D320" s="11"/>
      <c r="E320" s="3"/>
      <c r="F320" s="3"/>
      <c r="G320" s="3">
        <v>5</v>
      </c>
      <c r="H320" s="4" t="s">
        <v>256</v>
      </c>
      <c r="I320" s="8" t="s">
        <v>69</v>
      </c>
      <c r="J320" s="14" t="s">
        <v>943</v>
      </c>
      <c r="K320"/>
    </row>
    <row r="321" spans="1:11" x14ac:dyDescent="0.3">
      <c r="A321" s="9" t="str">
        <f t="shared" si="44"/>
        <v>14.09.2016</v>
      </c>
      <c r="B321" s="12"/>
      <c r="C321" s="11"/>
      <c r="D321" s="11"/>
      <c r="E321" s="3"/>
      <c r="F321" s="3"/>
      <c r="G321" s="3">
        <v>6</v>
      </c>
      <c r="H321" s="4" t="s">
        <v>944</v>
      </c>
      <c r="I321" s="8" t="s">
        <v>69</v>
      </c>
      <c r="J321" s="14" t="s">
        <v>945</v>
      </c>
      <c r="K321"/>
    </row>
    <row r="322" spans="1:11" x14ac:dyDescent="0.3">
      <c r="A322" s="9" t="str">
        <f>"04.05.2016"</f>
        <v>04.05.2016</v>
      </c>
      <c r="B322" s="12" t="s">
        <v>518</v>
      </c>
      <c r="C322" s="11"/>
      <c r="D322" s="11"/>
      <c r="E322" s="3"/>
      <c r="F322" s="3"/>
      <c r="G322" s="3">
        <v>1</v>
      </c>
      <c r="H322" s="4" t="s">
        <v>523</v>
      </c>
      <c r="J322" s="14" t="s">
        <v>527</v>
      </c>
      <c r="K322" t="s">
        <v>520</v>
      </c>
    </row>
    <row r="323" spans="1:11" x14ac:dyDescent="0.3">
      <c r="A323" s="9" t="str">
        <f>"04.05.2016"</f>
        <v>04.05.2016</v>
      </c>
      <c r="B323" s="12"/>
      <c r="C323" s="11"/>
      <c r="D323" s="11"/>
      <c r="E323" s="3"/>
      <c r="F323" s="3"/>
      <c r="G323" s="3">
        <v>2</v>
      </c>
      <c r="H323" s="4" t="s">
        <v>524</v>
      </c>
      <c r="J323" s="14" t="s">
        <v>528</v>
      </c>
      <c r="K323" t="s">
        <v>521</v>
      </c>
    </row>
    <row r="324" spans="1:11" x14ac:dyDescent="0.3">
      <c r="A324" s="9" t="str">
        <f>"04.05.2016"</f>
        <v>04.05.2016</v>
      </c>
      <c r="B324" s="12"/>
      <c r="C324" s="11"/>
      <c r="D324" s="11"/>
      <c r="E324" s="3"/>
      <c r="F324" s="3"/>
      <c r="G324" s="3">
        <v>3</v>
      </c>
      <c r="H324" s="4" t="s">
        <v>525</v>
      </c>
      <c r="J324" s="14" t="s">
        <v>529</v>
      </c>
      <c r="K324" t="s">
        <v>522</v>
      </c>
    </row>
    <row r="325" spans="1:11" x14ac:dyDescent="0.3">
      <c r="A325" s="9" t="str">
        <f>"04.05.2016"</f>
        <v>04.05.2016</v>
      </c>
      <c r="B325" s="12"/>
      <c r="C325" s="11"/>
      <c r="D325" s="11"/>
      <c r="E325" s="3"/>
      <c r="F325" s="3"/>
      <c r="G325" s="3">
        <v>4</v>
      </c>
      <c r="H325" s="4" t="s">
        <v>526</v>
      </c>
      <c r="J325" s="14" t="s">
        <v>530</v>
      </c>
      <c r="K325"/>
    </row>
    <row r="326" spans="1:11" x14ac:dyDescent="0.3">
      <c r="A326" s="9" t="str">
        <f>"28.04.2016"</f>
        <v>28.04.2016</v>
      </c>
      <c r="B326" s="12" t="s">
        <v>531</v>
      </c>
      <c r="C326" s="11"/>
      <c r="D326" s="11"/>
      <c r="E326" s="3"/>
      <c r="F326" s="3"/>
      <c r="G326" s="3">
        <v>1</v>
      </c>
      <c r="H326" s="4" t="s">
        <v>177</v>
      </c>
      <c r="J326" s="14" t="s">
        <v>539</v>
      </c>
      <c r="K326" t="s">
        <v>169</v>
      </c>
    </row>
    <row r="327" spans="1:11" x14ac:dyDescent="0.3">
      <c r="A327" s="9" t="str">
        <f t="shared" ref="A327:A335" si="45">"28.04.2016"</f>
        <v>28.04.2016</v>
      </c>
      <c r="B327" s="12"/>
      <c r="C327" s="11"/>
      <c r="D327" s="11"/>
      <c r="E327" s="11"/>
      <c r="F327" s="11"/>
      <c r="G327" s="3">
        <v>2</v>
      </c>
      <c r="H327" s="4" t="s">
        <v>532</v>
      </c>
      <c r="I327" s="4"/>
      <c r="J327" s="1" t="s">
        <v>540</v>
      </c>
      <c r="K327" s="9" t="s">
        <v>547</v>
      </c>
    </row>
    <row r="328" spans="1:11" x14ac:dyDescent="0.3">
      <c r="A328" s="9" t="str">
        <f t="shared" si="45"/>
        <v>28.04.2016</v>
      </c>
      <c r="B328" s="12"/>
      <c r="C328" s="11"/>
      <c r="D328" s="11"/>
      <c r="E328" s="11"/>
      <c r="F328" s="11"/>
      <c r="G328" s="3">
        <v>3</v>
      </c>
      <c r="H328" s="4" t="s">
        <v>533</v>
      </c>
      <c r="I328" s="4"/>
      <c r="J328" s="1" t="s">
        <v>541</v>
      </c>
    </row>
    <row r="329" spans="1:11" x14ac:dyDescent="0.3">
      <c r="A329" s="9" t="str">
        <f t="shared" si="45"/>
        <v>28.04.2016</v>
      </c>
      <c r="B329" s="12"/>
      <c r="C329" s="11"/>
      <c r="D329" s="11"/>
      <c r="E329" s="11"/>
      <c r="F329" s="11"/>
      <c r="G329" s="3">
        <v>4</v>
      </c>
      <c r="H329" s="4" t="s">
        <v>534</v>
      </c>
      <c r="I329" s="4"/>
      <c r="J329" s="1" t="s">
        <v>1046</v>
      </c>
      <c r="K329" s="7" t="s">
        <v>1034</v>
      </c>
    </row>
    <row r="330" spans="1:11" x14ac:dyDescent="0.3">
      <c r="A330" s="9" t="str">
        <f t="shared" si="45"/>
        <v>28.04.2016</v>
      </c>
      <c r="B330" s="12"/>
      <c r="C330" s="11"/>
      <c r="D330" s="11"/>
      <c r="E330" s="11"/>
      <c r="F330" s="11"/>
      <c r="G330" s="3">
        <v>5</v>
      </c>
      <c r="H330" s="4" t="s">
        <v>535</v>
      </c>
      <c r="I330" s="4"/>
      <c r="J330" s="1" t="s">
        <v>542</v>
      </c>
      <c r="K330" s="9" t="s">
        <v>548</v>
      </c>
    </row>
    <row r="331" spans="1:11" x14ac:dyDescent="0.3">
      <c r="A331" s="9" t="str">
        <f t="shared" si="45"/>
        <v>28.04.2016</v>
      </c>
      <c r="B331" s="12"/>
      <c r="C331" s="11"/>
      <c r="D331" s="11"/>
      <c r="E331" s="11"/>
      <c r="F331" s="11"/>
      <c r="G331" s="3">
        <v>6</v>
      </c>
      <c r="H331" s="4" t="s">
        <v>536</v>
      </c>
      <c r="I331" s="4"/>
      <c r="J331" s="1" t="s">
        <v>543</v>
      </c>
      <c r="K331" s="9" t="s">
        <v>549</v>
      </c>
    </row>
    <row r="332" spans="1:11" x14ac:dyDescent="0.3">
      <c r="A332" s="9" t="str">
        <f t="shared" si="45"/>
        <v>28.04.2016</v>
      </c>
      <c r="B332" s="12"/>
      <c r="C332" s="11"/>
      <c r="D332" s="11"/>
      <c r="E332" s="11"/>
      <c r="F332" s="11"/>
      <c r="G332" s="3">
        <v>7</v>
      </c>
      <c r="H332" s="4" t="s">
        <v>447</v>
      </c>
      <c r="I332" s="4"/>
      <c r="J332" s="1" t="s">
        <v>544</v>
      </c>
      <c r="K332" s="9" t="s">
        <v>550</v>
      </c>
    </row>
    <row r="333" spans="1:11" x14ac:dyDescent="0.3">
      <c r="A333" s="9" t="str">
        <f t="shared" si="45"/>
        <v>28.04.2016</v>
      </c>
      <c r="B333" s="12"/>
      <c r="C333" s="11"/>
      <c r="D333" s="11"/>
      <c r="E333" s="11"/>
      <c r="F333" s="11"/>
      <c r="G333" s="3">
        <v>8</v>
      </c>
      <c r="H333" s="4" t="s">
        <v>537</v>
      </c>
      <c r="I333" s="4"/>
      <c r="J333" s="1" t="s">
        <v>545</v>
      </c>
      <c r="K333" s="9"/>
    </row>
    <row r="334" spans="1:11" x14ac:dyDescent="0.3">
      <c r="A334" s="9" t="str">
        <f t="shared" si="45"/>
        <v>28.04.2016</v>
      </c>
      <c r="B334" s="12"/>
      <c r="C334" s="11"/>
      <c r="D334" s="11"/>
      <c r="E334" s="11"/>
      <c r="F334" s="11"/>
      <c r="G334" s="3">
        <v>9</v>
      </c>
      <c r="H334" s="4" t="s">
        <v>483</v>
      </c>
      <c r="I334" s="4"/>
      <c r="J334" s="1" t="s">
        <v>546</v>
      </c>
      <c r="K334" s="9" t="s">
        <v>551</v>
      </c>
    </row>
    <row r="335" spans="1:11" x14ac:dyDescent="0.3">
      <c r="A335" s="9" t="str">
        <f t="shared" si="45"/>
        <v>28.04.2016</v>
      </c>
      <c r="B335" s="12"/>
      <c r="C335" s="11"/>
      <c r="D335" s="11"/>
      <c r="E335" s="11"/>
      <c r="F335" s="11"/>
      <c r="G335" s="3">
        <v>10</v>
      </c>
      <c r="H335" s="4" t="s">
        <v>538</v>
      </c>
      <c r="I335" s="4"/>
      <c r="J335" s="1" t="s">
        <v>1047</v>
      </c>
      <c r="K335" s="9"/>
    </row>
    <row r="336" spans="1:11" x14ac:dyDescent="0.3">
      <c r="A336" s="9" t="str">
        <f>"13.01.2016"</f>
        <v>13.01.2016</v>
      </c>
      <c r="B336" s="12" t="s">
        <v>552</v>
      </c>
      <c r="C336" s="11"/>
      <c r="D336" s="11"/>
      <c r="E336" s="11"/>
      <c r="F336" s="11"/>
      <c r="G336" s="3">
        <v>1</v>
      </c>
      <c r="H336" s="4" t="s">
        <v>10</v>
      </c>
      <c r="I336" s="4"/>
      <c r="J336" s="1" t="s">
        <v>558</v>
      </c>
      <c r="K336" s="9" t="s">
        <v>563</v>
      </c>
    </row>
    <row r="337" spans="1:11" x14ac:dyDescent="0.3">
      <c r="A337" s="9" t="str">
        <f t="shared" ref="A337:A341" si="46">"13.01.2016"</f>
        <v>13.01.2016</v>
      </c>
      <c r="B337" s="12"/>
      <c r="C337" s="11"/>
      <c r="D337" s="11"/>
      <c r="E337" s="11"/>
      <c r="F337" s="11"/>
      <c r="G337" s="3">
        <v>2</v>
      </c>
      <c r="H337" s="4" t="s">
        <v>553</v>
      </c>
      <c r="I337" s="4"/>
      <c r="J337" s="1" t="s">
        <v>559</v>
      </c>
      <c r="K337" s="9" t="s">
        <v>564</v>
      </c>
    </row>
    <row r="338" spans="1:11" x14ac:dyDescent="0.3">
      <c r="A338" s="9" t="str">
        <f t="shared" si="46"/>
        <v>13.01.2016</v>
      </c>
      <c r="B338" s="12"/>
      <c r="C338" s="11"/>
      <c r="D338" s="11"/>
      <c r="E338" s="11"/>
      <c r="F338" s="11"/>
      <c r="G338" s="3">
        <v>3</v>
      </c>
      <c r="H338" s="4" t="s">
        <v>554</v>
      </c>
      <c r="I338" s="4"/>
      <c r="J338" s="1" t="s">
        <v>560</v>
      </c>
      <c r="K338" s="9" t="s">
        <v>565</v>
      </c>
    </row>
    <row r="339" spans="1:11" x14ac:dyDescent="0.3">
      <c r="A339" s="9" t="str">
        <f t="shared" si="46"/>
        <v>13.01.2016</v>
      </c>
      <c r="B339" s="12"/>
      <c r="C339" s="11"/>
      <c r="D339" s="11"/>
      <c r="E339" s="11"/>
      <c r="F339" s="11"/>
      <c r="G339" s="3">
        <v>4</v>
      </c>
      <c r="H339" s="4" t="s">
        <v>555</v>
      </c>
      <c r="I339" s="4"/>
      <c r="J339" s="1" t="s">
        <v>561</v>
      </c>
      <c r="K339" s="9" t="s">
        <v>566</v>
      </c>
    </row>
    <row r="340" spans="1:11" x14ac:dyDescent="0.3">
      <c r="A340" s="9" t="str">
        <f t="shared" si="46"/>
        <v>13.01.2016</v>
      </c>
      <c r="B340" s="12"/>
      <c r="C340" s="11"/>
      <c r="D340" s="11"/>
      <c r="E340" s="11"/>
      <c r="F340" s="11"/>
      <c r="G340" s="3">
        <v>5</v>
      </c>
      <c r="H340" s="4" t="s">
        <v>556</v>
      </c>
      <c r="I340" s="4"/>
      <c r="J340" s="1" t="s">
        <v>1048</v>
      </c>
      <c r="K340" s="9"/>
    </row>
    <row r="341" spans="1:11" x14ac:dyDescent="0.3">
      <c r="A341" s="9" t="str">
        <f t="shared" si="46"/>
        <v>13.01.2016</v>
      </c>
      <c r="B341" s="12"/>
      <c r="C341" s="11"/>
      <c r="D341" s="11"/>
      <c r="E341" s="11"/>
      <c r="F341" s="11"/>
      <c r="G341" s="3">
        <v>6</v>
      </c>
      <c r="H341" s="4" t="s">
        <v>557</v>
      </c>
      <c r="I341" s="4"/>
      <c r="J341" s="1" t="s">
        <v>562</v>
      </c>
      <c r="K341" s="9" t="s">
        <v>567</v>
      </c>
    </row>
    <row r="342" spans="1:11" x14ac:dyDescent="0.3">
      <c r="A342" s="9" t="str">
        <f>"27.10.2015"</f>
        <v>27.10.2015</v>
      </c>
      <c r="B342" s="12" t="s">
        <v>568</v>
      </c>
      <c r="C342" s="11"/>
      <c r="D342" s="11"/>
      <c r="E342" s="11"/>
      <c r="F342" s="11"/>
      <c r="G342" s="3">
        <v>1</v>
      </c>
      <c r="H342" s="4" t="s">
        <v>177</v>
      </c>
      <c r="I342" s="4"/>
      <c r="J342" s="1" t="s">
        <v>569</v>
      </c>
      <c r="K342" s="9" t="s">
        <v>169</v>
      </c>
    </row>
    <row r="343" spans="1:11" x14ac:dyDescent="0.3">
      <c r="A343" s="9" t="str">
        <f>"27.10.2015"</f>
        <v>27.10.2015</v>
      </c>
      <c r="B343" s="12"/>
      <c r="C343" s="11"/>
      <c r="D343" s="11"/>
      <c r="E343" s="11"/>
      <c r="F343" s="11"/>
      <c r="G343" s="3">
        <v>2</v>
      </c>
      <c r="H343" s="4" t="s">
        <v>259</v>
      </c>
      <c r="I343" s="4"/>
      <c r="J343" s="1" t="s">
        <v>570</v>
      </c>
      <c r="K343" s="9"/>
    </row>
    <row r="344" spans="1:11" x14ac:dyDescent="0.3">
      <c r="A344" s="9" t="str">
        <f>"23.06.2015"</f>
        <v>23.06.2015</v>
      </c>
      <c r="B344" s="12" t="s">
        <v>571</v>
      </c>
      <c r="C344" s="11"/>
      <c r="D344" s="11"/>
      <c r="E344" s="11"/>
      <c r="F344" s="11"/>
      <c r="G344" s="3">
        <v>1</v>
      </c>
      <c r="H344" s="4" t="s">
        <v>947</v>
      </c>
      <c r="I344" s="4" t="s">
        <v>948</v>
      </c>
      <c r="J344" s="1" t="s">
        <v>946</v>
      </c>
      <c r="K344" s="9"/>
    </row>
    <row r="345" spans="1:11" x14ac:dyDescent="0.3">
      <c r="A345" s="9" t="str">
        <f t="shared" ref="A345:A354" si="47">"23.06.2015"</f>
        <v>23.06.2015</v>
      </c>
      <c r="B345" s="12"/>
      <c r="C345" s="11"/>
      <c r="D345" s="11"/>
      <c r="E345" s="11"/>
      <c r="F345" s="11"/>
      <c r="G345" s="3">
        <v>2</v>
      </c>
      <c r="H345" s="4" t="s">
        <v>950</v>
      </c>
      <c r="I345" s="4"/>
      <c r="J345" s="1" t="s">
        <v>949</v>
      </c>
      <c r="K345" s="9"/>
    </row>
    <row r="346" spans="1:11" x14ac:dyDescent="0.3">
      <c r="A346" s="9" t="str">
        <f t="shared" si="47"/>
        <v>23.06.2015</v>
      </c>
      <c r="B346" s="12"/>
      <c r="C346" s="11"/>
      <c r="D346" s="11"/>
      <c r="E346" s="11"/>
      <c r="F346" s="11"/>
      <c r="G346" s="3">
        <v>3</v>
      </c>
      <c r="H346" s="4" t="s">
        <v>951</v>
      </c>
      <c r="I346" s="4" t="s">
        <v>952</v>
      </c>
      <c r="J346" s="1" t="s">
        <v>953</v>
      </c>
      <c r="K346" s="9"/>
    </row>
    <row r="347" spans="1:11" x14ac:dyDescent="0.3">
      <c r="A347" s="9" t="str">
        <f t="shared" si="47"/>
        <v>23.06.2015</v>
      </c>
      <c r="B347" s="12"/>
      <c r="C347" s="11"/>
      <c r="D347" s="11"/>
      <c r="E347" s="11"/>
      <c r="F347" s="11"/>
      <c r="G347" s="3">
        <v>4</v>
      </c>
      <c r="H347" s="4" t="s">
        <v>955</v>
      </c>
      <c r="I347" s="4" t="s">
        <v>956</v>
      </c>
      <c r="J347" s="1" t="s">
        <v>954</v>
      </c>
      <c r="K347" s="9"/>
    </row>
    <row r="348" spans="1:11" x14ac:dyDescent="0.3">
      <c r="A348" s="9" t="str">
        <f t="shared" si="47"/>
        <v>23.06.2015</v>
      </c>
      <c r="B348" s="12"/>
      <c r="C348" s="11"/>
      <c r="D348" s="11"/>
      <c r="E348" s="11"/>
      <c r="F348" s="11"/>
      <c r="G348" s="3">
        <v>5</v>
      </c>
      <c r="H348" s="4" t="s">
        <v>958</v>
      </c>
      <c r="I348" s="4" t="s">
        <v>959</v>
      </c>
      <c r="J348" s="1" t="s">
        <v>957</v>
      </c>
      <c r="K348" s="9"/>
    </row>
    <row r="349" spans="1:11" x14ac:dyDescent="0.3">
      <c r="A349" s="9" t="str">
        <f t="shared" si="47"/>
        <v>23.06.2015</v>
      </c>
      <c r="B349" s="12"/>
      <c r="C349" s="11"/>
      <c r="D349" s="11"/>
      <c r="E349" s="11"/>
      <c r="F349" s="11"/>
      <c r="G349" s="3">
        <v>6</v>
      </c>
      <c r="H349" s="4" t="s">
        <v>960</v>
      </c>
      <c r="I349" s="4" t="s">
        <v>897</v>
      </c>
      <c r="J349" s="1" t="s">
        <v>961</v>
      </c>
      <c r="K349" s="9"/>
    </row>
    <row r="350" spans="1:11" x14ac:dyDescent="0.3">
      <c r="A350" s="9" t="str">
        <f t="shared" si="47"/>
        <v>23.06.2015</v>
      </c>
      <c r="B350" s="12"/>
      <c r="C350" s="11"/>
      <c r="D350" s="11"/>
      <c r="E350" s="11"/>
      <c r="F350" s="11"/>
      <c r="G350" s="3">
        <v>7</v>
      </c>
      <c r="H350" s="4" t="s">
        <v>838</v>
      </c>
      <c r="I350" s="4" t="s">
        <v>837</v>
      </c>
      <c r="J350" s="1" t="s">
        <v>962</v>
      </c>
      <c r="K350" s="9"/>
    </row>
    <row r="351" spans="1:11" x14ac:dyDescent="0.3">
      <c r="A351" s="9" t="str">
        <f t="shared" si="47"/>
        <v>23.06.2015</v>
      </c>
      <c r="B351" s="12"/>
      <c r="C351" s="11"/>
      <c r="D351" s="11"/>
      <c r="E351" s="11"/>
      <c r="F351" s="11"/>
      <c r="G351" s="3">
        <v>8</v>
      </c>
      <c r="H351" s="4" t="s">
        <v>964</v>
      </c>
      <c r="I351" s="4" t="s">
        <v>66</v>
      </c>
      <c r="J351" s="1" t="s">
        <v>963</v>
      </c>
      <c r="K351" s="9"/>
    </row>
    <row r="352" spans="1:11" x14ac:dyDescent="0.3">
      <c r="A352" s="9" t="str">
        <f t="shared" si="47"/>
        <v>23.06.2015</v>
      </c>
      <c r="B352" s="12"/>
      <c r="C352" s="11"/>
      <c r="D352" s="11"/>
      <c r="E352" s="11"/>
      <c r="F352" s="11"/>
      <c r="G352" s="3">
        <v>9</v>
      </c>
      <c r="H352" s="4" t="s">
        <v>966</v>
      </c>
      <c r="I352" s="4" t="s">
        <v>66</v>
      </c>
      <c r="J352" s="1" t="s">
        <v>965</v>
      </c>
      <c r="K352" s="9"/>
    </row>
    <row r="353" spans="1:11" x14ac:dyDescent="0.3">
      <c r="A353" s="9" t="str">
        <f t="shared" si="47"/>
        <v>23.06.2015</v>
      </c>
      <c r="B353" s="12"/>
      <c r="C353" s="11"/>
      <c r="D353" s="11"/>
      <c r="E353" s="11"/>
      <c r="F353" s="11"/>
      <c r="G353" s="3">
        <v>10</v>
      </c>
      <c r="H353" s="4" t="s">
        <v>967</v>
      </c>
      <c r="I353" s="4" t="s">
        <v>897</v>
      </c>
      <c r="J353" s="1" t="s">
        <v>968</v>
      </c>
      <c r="K353" s="9"/>
    </row>
    <row r="354" spans="1:11" x14ac:dyDescent="0.3">
      <c r="A354" s="9" t="str">
        <f t="shared" si="47"/>
        <v>23.06.2015</v>
      </c>
      <c r="B354" s="12"/>
      <c r="C354" s="11"/>
      <c r="D354" s="11"/>
      <c r="E354" s="11"/>
      <c r="F354" s="11"/>
      <c r="G354" s="3">
        <v>11</v>
      </c>
      <c r="H354" s="4" t="s">
        <v>970</v>
      </c>
      <c r="I354" s="4" t="s">
        <v>34</v>
      </c>
      <c r="J354" s="1" t="s">
        <v>969</v>
      </c>
      <c r="K354" s="9"/>
    </row>
    <row r="355" spans="1:11" x14ac:dyDescent="0.3">
      <c r="A355" s="9" t="str">
        <f>"13.04.2015"</f>
        <v>13.04.2015</v>
      </c>
      <c r="B355" s="12" t="s">
        <v>572</v>
      </c>
      <c r="C355" s="11"/>
      <c r="D355" s="11"/>
      <c r="E355" s="11"/>
      <c r="F355" s="11"/>
      <c r="G355" s="3">
        <v>1</v>
      </c>
      <c r="H355" s="4" t="s">
        <v>574</v>
      </c>
      <c r="I355" s="4"/>
      <c r="J355" s="1" t="s">
        <v>575</v>
      </c>
      <c r="K355" s="9" t="s">
        <v>476</v>
      </c>
    </row>
    <row r="356" spans="1:11" x14ac:dyDescent="0.3">
      <c r="A356" s="9" t="str">
        <f>"13.04.2015"</f>
        <v>13.04.2015</v>
      </c>
      <c r="B356" s="12"/>
      <c r="C356" s="11"/>
      <c r="D356" s="11"/>
      <c r="E356" s="11"/>
      <c r="F356" s="11"/>
      <c r="G356" s="3">
        <v>2</v>
      </c>
      <c r="H356" s="4" t="s">
        <v>573</v>
      </c>
      <c r="I356" s="4"/>
      <c r="J356" s="1" t="s">
        <v>576</v>
      </c>
      <c r="K356" s="9" t="s">
        <v>578</v>
      </c>
    </row>
    <row r="357" spans="1:11" x14ac:dyDescent="0.3">
      <c r="A357" s="9" t="str">
        <f>"13.04.2015"</f>
        <v>13.04.2015</v>
      </c>
      <c r="B357" s="12"/>
      <c r="C357" s="11"/>
      <c r="D357" s="11"/>
      <c r="E357" s="11"/>
      <c r="F357" s="11"/>
      <c r="G357" s="3">
        <v>3</v>
      </c>
      <c r="H357" s="4" t="s">
        <v>472</v>
      </c>
      <c r="I357" s="4"/>
      <c r="J357" s="1" t="s">
        <v>577</v>
      </c>
      <c r="K357" s="9" t="s">
        <v>579</v>
      </c>
    </row>
    <row r="358" spans="1:11" x14ac:dyDescent="0.3">
      <c r="A358" s="9" t="str">
        <f>"13.11.2014"</f>
        <v>13.11.2014</v>
      </c>
      <c r="B358" s="12" t="s">
        <v>580</v>
      </c>
      <c r="C358" s="11"/>
      <c r="D358" s="11"/>
      <c r="E358" s="11"/>
      <c r="F358" s="11"/>
      <c r="G358" s="3">
        <v>1</v>
      </c>
      <c r="H358" s="4" t="s">
        <v>581</v>
      </c>
      <c r="I358" s="4"/>
      <c r="J358" s="1" t="s">
        <v>582</v>
      </c>
      <c r="K358" s="9" t="s">
        <v>595</v>
      </c>
    </row>
    <row r="359" spans="1:11" x14ac:dyDescent="0.3">
      <c r="A359" s="9" t="str">
        <f t="shared" ref="A359:A365" si="48">"13.11.2014"</f>
        <v>13.11.2014</v>
      </c>
      <c r="B359" s="12"/>
      <c r="C359" s="11"/>
      <c r="D359" s="11"/>
      <c r="E359" s="11"/>
      <c r="F359" s="11"/>
      <c r="G359" s="3">
        <v>2</v>
      </c>
      <c r="H359" s="4" t="s">
        <v>583</v>
      </c>
      <c r="I359" s="4"/>
      <c r="J359" s="1" t="s">
        <v>584</v>
      </c>
      <c r="K359" s="9" t="s">
        <v>596</v>
      </c>
    </row>
    <row r="360" spans="1:11" x14ac:dyDescent="0.3">
      <c r="A360" s="9" t="str">
        <f t="shared" si="48"/>
        <v>13.11.2014</v>
      </c>
      <c r="B360" s="12"/>
      <c r="C360" s="11"/>
      <c r="D360" s="11"/>
      <c r="E360" s="11"/>
      <c r="F360" s="11"/>
      <c r="G360" s="3">
        <v>3</v>
      </c>
      <c r="H360" s="4" t="s">
        <v>523</v>
      </c>
      <c r="I360" s="4"/>
      <c r="J360" s="1" t="s">
        <v>585</v>
      </c>
      <c r="K360" s="9" t="s">
        <v>597</v>
      </c>
    </row>
    <row r="361" spans="1:11" x14ac:dyDescent="0.3">
      <c r="A361" s="9" t="str">
        <f t="shared" si="48"/>
        <v>13.11.2014</v>
      </c>
      <c r="B361" s="12"/>
      <c r="C361" s="11"/>
      <c r="D361" s="11"/>
      <c r="E361" s="11"/>
      <c r="F361" s="11"/>
      <c r="G361" s="3">
        <v>4</v>
      </c>
      <c r="H361" s="4" t="s">
        <v>586</v>
      </c>
      <c r="I361" s="4"/>
      <c r="J361" s="1" t="s">
        <v>587</v>
      </c>
      <c r="K361" s="9" t="s">
        <v>598</v>
      </c>
    </row>
    <row r="362" spans="1:11" x14ac:dyDescent="0.3">
      <c r="A362" s="9" t="str">
        <f t="shared" si="48"/>
        <v>13.11.2014</v>
      </c>
      <c r="B362" s="12"/>
      <c r="C362" s="11"/>
      <c r="D362" s="11"/>
      <c r="E362" s="11"/>
      <c r="F362" s="11"/>
      <c r="G362" s="3">
        <v>5</v>
      </c>
      <c r="H362" s="4" t="s">
        <v>588</v>
      </c>
      <c r="I362" s="4"/>
      <c r="J362" s="1" t="s">
        <v>589</v>
      </c>
      <c r="K362" s="9" t="s">
        <v>599</v>
      </c>
    </row>
    <row r="363" spans="1:11" x14ac:dyDescent="0.3">
      <c r="A363" s="9" t="str">
        <f t="shared" si="48"/>
        <v>13.11.2014</v>
      </c>
      <c r="B363" s="12"/>
      <c r="C363" s="11"/>
      <c r="D363" s="11"/>
      <c r="E363" s="11"/>
      <c r="F363" s="11"/>
      <c r="G363" s="3">
        <v>6</v>
      </c>
      <c r="H363" s="4" t="s">
        <v>590</v>
      </c>
      <c r="I363" s="4"/>
      <c r="J363" s="1" t="s">
        <v>591</v>
      </c>
      <c r="K363" s="9" t="s">
        <v>600</v>
      </c>
    </row>
    <row r="364" spans="1:11" x14ac:dyDescent="0.3">
      <c r="A364" s="9" t="str">
        <f t="shared" si="48"/>
        <v>13.11.2014</v>
      </c>
      <c r="B364" s="12"/>
      <c r="C364" s="11"/>
      <c r="D364" s="11"/>
      <c r="E364" s="11"/>
      <c r="F364" s="11"/>
      <c r="G364" s="3">
        <v>7</v>
      </c>
      <c r="H364" s="4" t="s">
        <v>592</v>
      </c>
      <c r="I364" s="4"/>
      <c r="J364" s="1" t="s">
        <v>659</v>
      </c>
      <c r="K364" s="9" t="s">
        <v>601</v>
      </c>
    </row>
    <row r="365" spans="1:11" x14ac:dyDescent="0.3">
      <c r="A365" s="9" t="str">
        <f t="shared" si="48"/>
        <v>13.11.2014</v>
      </c>
      <c r="B365" s="12"/>
      <c r="C365" s="11"/>
      <c r="D365" s="11"/>
      <c r="E365" s="11"/>
      <c r="F365" s="11"/>
      <c r="G365" s="3">
        <v>8</v>
      </c>
      <c r="H365" s="4" t="s">
        <v>593</v>
      </c>
      <c r="I365" s="4"/>
      <c r="J365" s="1" t="s">
        <v>594</v>
      </c>
      <c r="K365" s="9" t="s">
        <v>602</v>
      </c>
    </row>
    <row r="366" spans="1:11" x14ac:dyDescent="0.3">
      <c r="A366" s="9" t="str">
        <f>"02.10.2014"</f>
        <v>02.10.2014</v>
      </c>
      <c r="B366" s="12" t="s">
        <v>603</v>
      </c>
      <c r="C366" s="11"/>
      <c r="D366" s="11"/>
      <c r="E366" s="11"/>
      <c r="F366" s="11"/>
      <c r="G366" s="3">
        <v>1</v>
      </c>
      <c r="H366" s="4" t="s">
        <v>604</v>
      </c>
      <c r="I366" s="4"/>
      <c r="J366" s="1" t="s">
        <v>605</v>
      </c>
      <c r="K366" s="9" t="s">
        <v>491</v>
      </c>
    </row>
    <row r="367" spans="1:11" x14ac:dyDescent="0.3">
      <c r="A367" s="9" t="str">
        <f t="shared" ref="A367:A372" si="49">"02.10.2014"</f>
        <v>02.10.2014</v>
      </c>
      <c r="B367" s="12"/>
      <c r="C367" s="11"/>
      <c r="D367" s="11"/>
      <c r="E367" s="11"/>
      <c r="F367" s="11"/>
      <c r="G367" s="3">
        <v>2</v>
      </c>
      <c r="H367" s="4" t="s">
        <v>606</v>
      </c>
      <c r="I367" s="4"/>
      <c r="J367" s="1" t="s">
        <v>607</v>
      </c>
      <c r="K367" s="9" t="s">
        <v>618</v>
      </c>
    </row>
    <row r="368" spans="1:11" x14ac:dyDescent="0.3">
      <c r="A368" s="9" t="str">
        <f t="shared" si="49"/>
        <v>02.10.2014</v>
      </c>
      <c r="B368" s="12"/>
      <c r="C368" s="11"/>
      <c r="D368" s="11"/>
      <c r="E368" s="11"/>
      <c r="F368" s="11"/>
      <c r="G368" s="3">
        <v>3</v>
      </c>
      <c r="H368" s="4" t="s">
        <v>608</v>
      </c>
      <c r="I368" s="4"/>
      <c r="J368" s="1" t="s">
        <v>609</v>
      </c>
      <c r="K368" s="9" t="s">
        <v>619</v>
      </c>
    </row>
    <row r="369" spans="1:11" x14ac:dyDescent="0.3">
      <c r="A369" s="9" t="str">
        <f t="shared" si="49"/>
        <v>02.10.2014</v>
      </c>
      <c r="B369" s="12"/>
      <c r="C369" s="11"/>
      <c r="D369" s="11"/>
      <c r="E369" s="11"/>
      <c r="F369" s="11"/>
      <c r="G369" s="3">
        <v>4</v>
      </c>
      <c r="H369" s="4" t="s">
        <v>610</v>
      </c>
      <c r="I369" s="4"/>
      <c r="J369" s="1" t="s">
        <v>611</v>
      </c>
      <c r="K369" s="9" t="s">
        <v>620</v>
      </c>
    </row>
    <row r="370" spans="1:11" x14ac:dyDescent="0.3">
      <c r="A370" s="9" t="str">
        <f t="shared" si="49"/>
        <v>02.10.2014</v>
      </c>
      <c r="B370" s="12"/>
      <c r="C370" s="11"/>
      <c r="D370" s="11"/>
      <c r="E370" s="11"/>
      <c r="F370" s="11"/>
      <c r="G370" s="3">
        <v>5</v>
      </c>
      <c r="H370" s="4" t="s">
        <v>612</v>
      </c>
      <c r="I370" s="4"/>
      <c r="J370" s="1" t="s">
        <v>613</v>
      </c>
      <c r="K370" s="9" t="s">
        <v>621</v>
      </c>
    </row>
    <row r="371" spans="1:11" x14ac:dyDescent="0.3">
      <c r="A371" s="9" t="str">
        <f t="shared" si="49"/>
        <v>02.10.2014</v>
      </c>
      <c r="B371" s="12"/>
      <c r="C371" s="11"/>
      <c r="D371" s="11"/>
      <c r="E371" s="11"/>
      <c r="F371" s="11"/>
      <c r="G371" s="3">
        <v>6</v>
      </c>
      <c r="H371" s="4" t="s">
        <v>614</v>
      </c>
      <c r="I371" s="4"/>
      <c r="J371" s="1" t="s">
        <v>615</v>
      </c>
      <c r="K371" s="9" t="s">
        <v>622</v>
      </c>
    </row>
    <row r="372" spans="1:11" x14ac:dyDescent="0.3">
      <c r="A372" s="9" t="str">
        <f t="shared" si="49"/>
        <v>02.10.2014</v>
      </c>
      <c r="B372" s="12"/>
      <c r="C372" s="11"/>
      <c r="D372" s="11"/>
      <c r="E372" s="11"/>
      <c r="F372" s="11"/>
      <c r="G372" s="3">
        <v>7</v>
      </c>
      <c r="H372" s="4" t="s">
        <v>616</v>
      </c>
      <c r="I372" s="4"/>
      <c r="J372" s="1" t="s">
        <v>617</v>
      </c>
      <c r="K372" s="9" t="s">
        <v>623</v>
      </c>
    </row>
    <row r="373" spans="1:11" x14ac:dyDescent="0.3">
      <c r="A373" s="9" t="str">
        <f>"07.05.2014"</f>
        <v>07.05.2014</v>
      </c>
      <c r="B373" s="12" t="s">
        <v>624</v>
      </c>
      <c r="C373" s="11"/>
      <c r="D373" s="11"/>
      <c r="E373" s="11"/>
      <c r="F373" s="11"/>
      <c r="G373" s="3">
        <v>1</v>
      </c>
      <c r="H373" s="4" t="s">
        <v>626</v>
      </c>
      <c r="I373" s="4"/>
      <c r="J373" s="1" t="s">
        <v>627</v>
      </c>
      <c r="K373" s="9"/>
    </row>
    <row r="374" spans="1:11" x14ac:dyDescent="0.3">
      <c r="A374" s="9" t="str">
        <f>"07.05.2014"</f>
        <v>07.05.2014</v>
      </c>
      <c r="B374" s="12"/>
      <c r="C374" s="11"/>
      <c r="D374" s="11"/>
      <c r="E374" s="11"/>
      <c r="F374" s="11"/>
      <c r="G374" s="3">
        <v>2</v>
      </c>
      <c r="H374" s="4" t="s">
        <v>27</v>
      </c>
      <c r="I374" s="4"/>
      <c r="J374" s="1"/>
      <c r="K374" s="9"/>
    </row>
    <row r="375" spans="1:11" x14ac:dyDescent="0.3">
      <c r="A375" s="9" t="str">
        <f>"04.02.2014"</f>
        <v>04.02.2014</v>
      </c>
      <c r="B375" s="12" t="s">
        <v>625</v>
      </c>
      <c r="C375" s="11"/>
      <c r="D375" s="11"/>
      <c r="E375" s="11"/>
      <c r="F375" s="11"/>
      <c r="G375" s="3">
        <v>1</v>
      </c>
      <c r="H375" s="4"/>
      <c r="I375" s="4"/>
      <c r="J375" s="1"/>
      <c r="K375" s="9"/>
    </row>
    <row r="376" spans="1:11" x14ac:dyDescent="0.3">
      <c r="A376" s="9" t="str">
        <f>"18.06.2013"</f>
        <v>18.06.2013</v>
      </c>
      <c r="B376" s="12" t="s">
        <v>628</v>
      </c>
      <c r="C376" s="11"/>
      <c r="D376" s="11"/>
      <c r="E376" s="11"/>
      <c r="F376" s="11"/>
      <c r="G376" s="3">
        <v>1</v>
      </c>
      <c r="H376" s="4" t="s">
        <v>632</v>
      </c>
      <c r="I376" s="4"/>
      <c r="J376" s="1" t="s">
        <v>633</v>
      </c>
      <c r="K376" s="9" t="s">
        <v>629</v>
      </c>
    </row>
    <row r="377" spans="1:11" x14ac:dyDescent="0.3">
      <c r="A377" s="9" t="str">
        <f>"18.06.2013"</f>
        <v>18.06.2013</v>
      </c>
      <c r="B377" s="12"/>
      <c r="C377" s="11"/>
      <c r="D377" s="11"/>
      <c r="E377" s="11"/>
      <c r="F377" s="11"/>
      <c r="G377" s="3">
        <v>2</v>
      </c>
      <c r="H377" s="4" t="s">
        <v>634</v>
      </c>
      <c r="I377" s="4"/>
      <c r="J377" s="1" t="s">
        <v>635</v>
      </c>
      <c r="K377" s="9" t="s">
        <v>308</v>
      </c>
    </row>
    <row r="378" spans="1:11" x14ac:dyDescent="0.3">
      <c r="A378" s="9" t="str">
        <f>"18.06.2013"</f>
        <v>18.06.2013</v>
      </c>
      <c r="B378" s="12"/>
      <c r="C378" s="11"/>
      <c r="D378" s="11"/>
      <c r="E378" s="11"/>
      <c r="F378" s="11"/>
      <c r="G378" s="3">
        <v>3</v>
      </c>
      <c r="H378" s="4" t="s">
        <v>634</v>
      </c>
      <c r="I378" s="4"/>
      <c r="J378" s="1" t="s">
        <v>636</v>
      </c>
      <c r="K378" s="9" t="s">
        <v>630</v>
      </c>
    </row>
    <row r="379" spans="1:11" x14ac:dyDescent="0.3">
      <c r="A379" s="9" t="str">
        <f>"04.06.2013"</f>
        <v>04.06.2013</v>
      </c>
      <c r="B379" s="12" t="s">
        <v>571</v>
      </c>
      <c r="C379" s="11"/>
      <c r="D379" s="11"/>
      <c r="E379" s="11"/>
      <c r="F379" s="11"/>
      <c r="G379" s="3">
        <v>1</v>
      </c>
      <c r="H379" s="4" t="s">
        <v>658</v>
      </c>
      <c r="I379" s="4"/>
      <c r="J379" s="1" t="s">
        <v>35</v>
      </c>
      <c r="K379" s="9" t="s">
        <v>660</v>
      </c>
    </row>
    <row r="380" spans="1:11" x14ac:dyDescent="0.3">
      <c r="A380" s="9" t="str">
        <f t="shared" ref="A380:A392" si="50">"04.06.2013"</f>
        <v>04.06.2013</v>
      </c>
      <c r="B380" s="12"/>
      <c r="C380" s="11"/>
      <c r="D380" s="11"/>
      <c r="E380" s="11"/>
      <c r="F380" s="11"/>
      <c r="G380" s="3">
        <v>2</v>
      </c>
      <c r="H380" s="4" t="s">
        <v>209</v>
      </c>
      <c r="I380" s="4"/>
      <c r="J380" s="1" t="s">
        <v>637</v>
      </c>
      <c r="K380" s="9" t="s">
        <v>661</v>
      </c>
    </row>
    <row r="381" spans="1:11" x14ac:dyDescent="0.3">
      <c r="A381" s="9" t="str">
        <f t="shared" si="50"/>
        <v>04.06.2013</v>
      </c>
      <c r="B381" s="12"/>
      <c r="C381" s="11"/>
      <c r="D381" s="11"/>
      <c r="E381" s="11"/>
      <c r="F381" s="11"/>
      <c r="G381" s="3">
        <v>3</v>
      </c>
      <c r="H381" s="4" t="s">
        <v>638</v>
      </c>
      <c r="I381" s="4"/>
      <c r="J381" s="1" t="s">
        <v>639</v>
      </c>
      <c r="K381" s="9" t="s">
        <v>662</v>
      </c>
    </row>
    <row r="382" spans="1:11" x14ac:dyDescent="0.3">
      <c r="A382" s="9" t="str">
        <f t="shared" si="50"/>
        <v>04.06.2013</v>
      </c>
      <c r="B382" s="12"/>
      <c r="C382" s="11"/>
      <c r="D382" s="11"/>
      <c r="E382" s="11"/>
      <c r="F382" s="11"/>
      <c r="G382" s="3">
        <v>4</v>
      </c>
      <c r="H382" s="4" t="s">
        <v>640</v>
      </c>
      <c r="I382" s="4"/>
      <c r="J382" s="1" t="s">
        <v>641</v>
      </c>
      <c r="K382" s="9" t="s">
        <v>663</v>
      </c>
    </row>
    <row r="383" spans="1:11" x14ac:dyDescent="0.3">
      <c r="A383" s="9" t="str">
        <f t="shared" si="50"/>
        <v>04.06.2013</v>
      </c>
      <c r="B383" s="12"/>
      <c r="C383" s="11"/>
      <c r="D383" s="11"/>
      <c r="E383" s="11"/>
      <c r="F383" s="11"/>
      <c r="G383" s="3">
        <v>5</v>
      </c>
      <c r="H383" s="4" t="s">
        <v>642</v>
      </c>
      <c r="I383" s="4"/>
      <c r="J383" s="1" t="s">
        <v>643</v>
      </c>
      <c r="K383" s="9" t="s">
        <v>664</v>
      </c>
    </row>
    <row r="384" spans="1:11" x14ac:dyDescent="0.3">
      <c r="A384" s="9" t="str">
        <f t="shared" si="50"/>
        <v>04.06.2013</v>
      </c>
      <c r="B384" s="12"/>
      <c r="C384" s="11"/>
      <c r="D384" s="11"/>
      <c r="E384" s="11"/>
      <c r="F384" s="11"/>
      <c r="G384" s="3">
        <v>6</v>
      </c>
      <c r="H384" s="4" t="s">
        <v>644</v>
      </c>
      <c r="I384" s="4"/>
      <c r="J384" s="1" t="s">
        <v>645</v>
      </c>
      <c r="K384" s="9" t="s">
        <v>665</v>
      </c>
    </row>
    <row r="385" spans="1:11" x14ac:dyDescent="0.3">
      <c r="A385" s="9" t="str">
        <f t="shared" si="50"/>
        <v>04.06.2013</v>
      </c>
      <c r="B385" s="12"/>
      <c r="C385" s="11"/>
      <c r="D385" s="11"/>
      <c r="E385" s="11"/>
      <c r="F385" s="11"/>
      <c r="G385" s="3">
        <v>7</v>
      </c>
      <c r="H385" s="4" t="s">
        <v>646</v>
      </c>
      <c r="I385" s="4"/>
      <c r="J385" s="1" t="s">
        <v>647</v>
      </c>
      <c r="K385" s="9" t="s">
        <v>666</v>
      </c>
    </row>
    <row r="386" spans="1:11" x14ac:dyDescent="0.3">
      <c r="A386" s="9" t="str">
        <f t="shared" si="50"/>
        <v>04.06.2013</v>
      </c>
      <c r="B386" s="12"/>
      <c r="C386" s="11"/>
      <c r="D386" s="11"/>
      <c r="E386" s="11"/>
      <c r="F386" s="11"/>
      <c r="G386" s="3">
        <v>8</v>
      </c>
      <c r="H386" s="4" t="s">
        <v>648</v>
      </c>
      <c r="I386" s="4"/>
      <c r="J386" s="1" t="s">
        <v>649</v>
      </c>
      <c r="K386" s="9" t="s">
        <v>667</v>
      </c>
    </row>
    <row r="387" spans="1:11" x14ac:dyDescent="0.3">
      <c r="A387" s="9" t="str">
        <f t="shared" si="50"/>
        <v>04.06.2013</v>
      </c>
      <c r="B387" s="12"/>
      <c r="C387" s="11"/>
      <c r="D387" s="11"/>
      <c r="E387" s="11"/>
      <c r="F387" s="11"/>
      <c r="G387" s="3">
        <v>9</v>
      </c>
      <c r="H387" s="4" t="s">
        <v>481</v>
      </c>
      <c r="I387" s="4"/>
      <c r="J387" s="1" t="s">
        <v>650</v>
      </c>
      <c r="K387" s="9" t="s">
        <v>668</v>
      </c>
    </row>
    <row r="388" spans="1:11" x14ac:dyDescent="0.3">
      <c r="A388" s="9" t="str">
        <f t="shared" si="50"/>
        <v>04.06.2013</v>
      </c>
      <c r="B388" s="12"/>
      <c r="C388" s="11"/>
      <c r="D388" s="11"/>
      <c r="E388" s="11"/>
      <c r="F388" s="11"/>
      <c r="G388" s="3">
        <v>10</v>
      </c>
      <c r="H388" s="4" t="s">
        <v>651</v>
      </c>
      <c r="I388" s="4"/>
      <c r="J388" s="1" t="s">
        <v>652</v>
      </c>
      <c r="K388" s="9" t="s">
        <v>669</v>
      </c>
    </row>
    <row r="389" spans="1:11" x14ac:dyDescent="0.3">
      <c r="A389" s="9" t="str">
        <f t="shared" si="50"/>
        <v>04.06.2013</v>
      </c>
      <c r="B389" s="12"/>
      <c r="C389" s="11"/>
      <c r="D389" s="11"/>
      <c r="E389" s="11"/>
      <c r="F389" s="11"/>
      <c r="G389" s="3">
        <v>11</v>
      </c>
      <c r="H389" s="4" t="s">
        <v>653</v>
      </c>
      <c r="I389" s="4"/>
      <c r="J389" s="1" t="s">
        <v>654</v>
      </c>
      <c r="K389" s="9" t="s">
        <v>670</v>
      </c>
    </row>
    <row r="390" spans="1:11" x14ac:dyDescent="0.3">
      <c r="A390" s="9" t="str">
        <f t="shared" si="50"/>
        <v>04.06.2013</v>
      </c>
      <c r="B390" s="12"/>
      <c r="C390" s="11"/>
      <c r="D390" s="11"/>
      <c r="E390" s="11"/>
      <c r="F390" s="11"/>
      <c r="G390" s="3">
        <v>12</v>
      </c>
      <c r="H390" s="4" t="s">
        <v>655</v>
      </c>
      <c r="I390" s="4"/>
      <c r="J390" s="1" t="s">
        <v>656</v>
      </c>
      <c r="K390" s="9" t="s">
        <v>671</v>
      </c>
    </row>
    <row r="391" spans="1:11" x14ac:dyDescent="0.3">
      <c r="A391" s="9" t="str">
        <f t="shared" si="50"/>
        <v>04.06.2013</v>
      </c>
      <c r="B391" s="12"/>
      <c r="C391" s="11"/>
      <c r="D391" s="11"/>
      <c r="E391" s="11"/>
      <c r="F391" s="11"/>
      <c r="G391" s="3">
        <v>13</v>
      </c>
      <c r="H391" s="4" t="s">
        <v>201</v>
      </c>
      <c r="I391" s="4"/>
      <c r="J391" s="1" t="s">
        <v>657</v>
      </c>
      <c r="K391" s="9" t="s">
        <v>672</v>
      </c>
    </row>
    <row r="392" spans="1:11" x14ac:dyDescent="0.3">
      <c r="A392" s="9" t="str">
        <f t="shared" si="50"/>
        <v>04.06.2013</v>
      </c>
      <c r="B392" s="12"/>
      <c r="C392" s="11"/>
      <c r="D392" s="11"/>
      <c r="E392" s="11"/>
      <c r="F392" s="11"/>
      <c r="G392" s="3">
        <v>14</v>
      </c>
      <c r="H392" s="4" t="s">
        <v>185</v>
      </c>
      <c r="I392" s="4"/>
      <c r="J392" s="1" t="s">
        <v>631</v>
      </c>
      <c r="K392" s="9" t="s">
        <v>673</v>
      </c>
    </row>
    <row r="393" spans="1:11" x14ac:dyDescent="0.3">
      <c r="A393" s="9" t="str">
        <f>"28.11.2012"</f>
        <v>28.11.2012</v>
      </c>
      <c r="B393" s="12" t="s">
        <v>674</v>
      </c>
      <c r="C393" s="11"/>
      <c r="D393" s="11"/>
      <c r="E393" s="11"/>
      <c r="F393" s="11"/>
      <c r="G393" s="3">
        <v>1</v>
      </c>
      <c r="H393" s="4" t="s">
        <v>677</v>
      </c>
      <c r="I393" s="4" t="s">
        <v>678</v>
      </c>
      <c r="J393" s="1" t="s">
        <v>675</v>
      </c>
      <c r="K393" s="9"/>
    </row>
    <row r="394" spans="1:11" x14ac:dyDescent="0.3">
      <c r="A394" s="9" t="str">
        <f t="shared" ref="A394:A395" si="51">"28.11.2012"</f>
        <v>28.11.2012</v>
      </c>
      <c r="B394" s="12"/>
      <c r="C394" s="11"/>
      <c r="D394" s="11"/>
      <c r="E394" s="11"/>
      <c r="F394" s="11"/>
      <c r="G394" s="3">
        <v>2</v>
      </c>
      <c r="H394" s="4" t="s">
        <v>679</v>
      </c>
      <c r="I394" s="4" t="s">
        <v>680</v>
      </c>
      <c r="J394" s="1" t="s">
        <v>676</v>
      </c>
      <c r="K394" s="9"/>
    </row>
    <row r="395" spans="1:11" x14ac:dyDescent="0.3">
      <c r="A395" s="9" t="str">
        <f t="shared" si="51"/>
        <v>28.11.2012</v>
      </c>
      <c r="B395" s="12"/>
      <c r="C395" s="11"/>
      <c r="D395" s="11"/>
      <c r="E395" s="11"/>
      <c r="F395" s="11"/>
      <c r="G395" s="3">
        <v>3</v>
      </c>
      <c r="H395" s="4" t="s">
        <v>681</v>
      </c>
      <c r="I395" s="4" t="s">
        <v>682</v>
      </c>
      <c r="J395" s="1" t="s">
        <v>683</v>
      </c>
      <c r="K395" s="9"/>
    </row>
    <row r="396" spans="1:11" x14ac:dyDescent="0.3">
      <c r="A396" s="9" t="str">
        <f>"25.09.2012"</f>
        <v>25.09.2012</v>
      </c>
      <c r="B396" s="12" t="s">
        <v>684</v>
      </c>
      <c r="C396" s="11"/>
      <c r="D396" s="11"/>
      <c r="E396" s="11"/>
      <c r="F396" s="11"/>
      <c r="G396" s="3">
        <v>1</v>
      </c>
      <c r="H396" s="4" t="s">
        <v>685</v>
      </c>
      <c r="I396" s="4"/>
      <c r="J396" s="1" t="s">
        <v>688</v>
      </c>
      <c r="K396" s="9" t="s">
        <v>693</v>
      </c>
    </row>
    <row r="397" spans="1:11" x14ac:dyDescent="0.3">
      <c r="A397" s="9" t="str">
        <f t="shared" ref="A397:A400" si="52">"25.09.2012"</f>
        <v>25.09.2012</v>
      </c>
      <c r="B397" s="12"/>
      <c r="C397" s="11"/>
      <c r="D397" s="11"/>
      <c r="E397" s="11"/>
      <c r="F397" s="11"/>
      <c r="G397" s="3">
        <v>2</v>
      </c>
      <c r="H397" s="4" t="s">
        <v>686</v>
      </c>
      <c r="I397" s="4"/>
      <c r="J397" s="1" t="s">
        <v>689</v>
      </c>
      <c r="K397" s="9" t="s">
        <v>694</v>
      </c>
    </row>
    <row r="398" spans="1:11" x14ac:dyDescent="0.3">
      <c r="A398" s="9" t="str">
        <f t="shared" si="52"/>
        <v>25.09.2012</v>
      </c>
      <c r="B398" s="12"/>
      <c r="C398" s="11"/>
      <c r="D398" s="11"/>
      <c r="E398" s="11"/>
      <c r="F398" s="11"/>
      <c r="G398" s="3">
        <v>3</v>
      </c>
      <c r="H398" s="4" t="s">
        <v>687</v>
      </c>
      <c r="I398" s="4"/>
      <c r="J398" s="1" t="s">
        <v>690</v>
      </c>
      <c r="K398" s="9" t="s">
        <v>695</v>
      </c>
    </row>
    <row r="399" spans="1:11" x14ac:dyDescent="0.3">
      <c r="A399" s="9" t="str">
        <f t="shared" si="52"/>
        <v>25.09.2012</v>
      </c>
      <c r="B399" s="12"/>
      <c r="C399" s="11"/>
      <c r="D399" s="11"/>
      <c r="E399" s="11"/>
      <c r="F399" s="11"/>
      <c r="G399" s="3">
        <v>4</v>
      </c>
      <c r="H399" s="4" t="s">
        <v>481</v>
      </c>
      <c r="I399" s="4"/>
      <c r="J399" s="1" t="s">
        <v>691</v>
      </c>
      <c r="K399" s="9" t="s">
        <v>696</v>
      </c>
    </row>
    <row r="400" spans="1:11" x14ac:dyDescent="0.3">
      <c r="A400" s="9" t="str">
        <f t="shared" si="52"/>
        <v>25.09.2012</v>
      </c>
      <c r="B400" s="12"/>
      <c r="C400" s="11"/>
      <c r="D400" s="11"/>
      <c r="E400" s="11"/>
      <c r="F400" s="11"/>
      <c r="G400" s="3">
        <v>5</v>
      </c>
      <c r="H400" s="4" t="s">
        <v>209</v>
      </c>
      <c r="I400" s="4"/>
      <c r="J400" s="1" t="s">
        <v>692</v>
      </c>
      <c r="K400" s="9" t="s">
        <v>219</v>
      </c>
    </row>
    <row r="401" spans="1:11" x14ac:dyDescent="0.3">
      <c r="A401" s="9" t="str">
        <f>"09.07.2012"</f>
        <v>09.07.2012</v>
      </c>
      <c r="B401" s="12" t="s">
        <v>697</v>
      </c>
      <c r="C401" s="11"/>
      <c r="D401" s="11"/>
      <c r="E401" s="11"/>
      <c r="F401" s="11"/>
      <c r="G401" s="3">
        <v>1</v>
      </c>
      <c r="H401" s="4" t="s">
        <v>698</v>
      </c>
      <c r="I401" s="4"/>
      <c r="J401" s="1" t="s">
        <v>701</v>
      </c>
      <c r="K401" s="9" t="s">
        <v>704</v>
      </c>
    </row>
    <row r="402" spans="1:11" x14ac:dyDescent="0.3">
      <c r="A402" s="9" t="str">
        <f t="shared" ref="A402:A404" si="53">"09.07.2012"</f>
        <v>09.07.2012</v>
      </c>
      <c r="B402" s="12"/>
      <c r="C402" s="11"/>
      <c r="D402" s="11"/>
      <c r="E402" s="11"/>
      <c r="F402" s="11"/>
      <c r="G402" s="3">
        <v>2</v>
      </c>
      <c r="H402" s="4" t="s">
        <v>699</v>
      </c>
      <c r="I402" s="4"/>
      <c r="J402" s="1" t="s">
        <v>702</v>
      </c>
      <c r="K402" s="9" t="s">
        <v>705</v>
      </c>
    </row>
    <row r="403" spans="1:11" x14ac:dyDescent="0.3">
      <c r="A403" s="9" t="str">
        <f t="shared" si="53"/>
        <v>09.07.2012</v>
      </c>
      <c r="B403" s="12"/>
      <c r="C403" s="11"/>
      <c r="D403" s="11"/>
      <c r="E403" s="11"/>
      <c r="F403" s="11"/>
      <c r="G403" s="3">
        <v>3</v>
      </c>
      <c r="H403" s="4" t="s">
        <v>707</v>
      </c>
      <c r="I403" s="4"/>
      <c r="J403" s="1" t="s">
        <v>706</v>
      </c>
      <c r="K403" s="9"/>
    </row>
    <row r="404" spans="1:11" x14ac:dyDescent="0.3">
      <c r="A404" s="9" t="str">
        <f t="shared" si="53"/>
        <v>09.07.2012</v>
      </c>
      <c r="B404" s="12"/>
      <c r="C404" s="11"/>
      <c r="D404" s="11"/>
      <c r="E404" s="11"/>
      <c r="F404" s="11"/>
      <c r="G404" s="3">
        <v>4</v>
      </c>
      <c r="H404" s="4" t="s">
        <v>700</v>
      </c>
      <c r="I404" s="4"/>
      <c r="J404" s="1" t="s">
        <v>703</v>
      </c>
      <c r="K404" s="9" t="s">
        <v>708</v>
      </c>
    </row>
    <row r="405" spans="1:11" x14ac:dyDescent="0.3">
      <c r="A405" s="9" t="str">
        <f>"22.05.2012"</f>
        <v>22.05.2012</v>
      </c>
      <c r="B405" s="12" t="s">
        <v>709</v>
      </c>
      <c r="C405" s="11"/>
      <c r="D405" s="11"/>
      <c r="E405" s="11"/>
      <c r="F405" s="11"/>
      <c r="G405" s="3">
        <v>1</v>
      </c>
      <c r="H405" s="4"/>
      <c r="I405" s="4"/>
      <c r="J405" s="1"/>
      <c r="K405" s="9"/>
    </row>
    <row r="406" spans="1:11" x14ac:dyDescent="0.3">
      <c r="A406" s="9" t="str">
        <f>"29.11.2011"</f>
        <v>29.11.2011</v>
      </c>
      <c r="B406" s="12" t="s">
        <v>713</v>
      </c>
      <c r="C406" s="11"/>
      <c r="D406" s="11"/>
      <c r="E406" s="11"/>
      <c r="F406" s="11"/>
      <c r="G406" s="3">
        <v>1</v>
      </c>
      <c r="H406" s="4" t="s">
        <v>710</v>
      </c>
      <c r="I406" s="4" t="s">
        <v>711</v>
      </c>
      <c r="J406" s="1" t="s">
        <v>712</v>
      </c>
      <c r="K406" s="9"/>
    </row>
    <row r="407" spans="1:11" x14ac:dyDescent="0.3">
      <c r="A407" s="9" t="str">
        <f>"29.11.2011"</f>
        <v>29.11.2011</v>
      </c>
      <c r="B407" s="12"/>
      <c r="C407" s="11"/>
      <c r="D407" s="11"/>
      <c r="E407" s="11"/>
      <c r="F407" s="11"/>
      <c r="G407" s="3">
        <v>2</v>
      </c>
      <c r="H407" s="4" t="s">
        <v>256</v>
      </c>
      <c r="I407" s="4" t="s">
        <v>69</v>
      </c>
      <c r="J407" s="1" t="s">
        <v>714</v>
      </c>
      <c r="K407" s="9"/>
    </row>
    <row r="408" spans="1:11" x14ac:dyDescent="0.3">
      <c r="A408" s="9" t="str">
        <f>"16.09.2011"</f>
        <v>16.09.2011</v>
      </c>
      <c r="B408" s="12" t="s">
        <v>715</v>
      </c>
      <c r="C408" s="11"/>
      <c r="D408" s="11"/>
      <c r="E408" s="11"/>
      <c r="F408" s="11"/>
      <c r="G408" s="3">
        <v>1</v>
      </c>
      <c r="H408" s="4" t="s">
        <v>716</v>
      </c>
      <c r="I408" s="4"/>
      <c r="J408" s="1" t="s">
        <v>717</v>
      </c>
      <c r="K408" s="9" t="s">
        <v>729</v>
      </c>
    </row>
    <row r="409" spans="1:11" x14ac:dyDescent="0.3">
      <c r="A409" s="9" t="str">
        <f t="shared" ref="A409:A415" si="54">"16.09.2011"</f>
        <v>16.09.2011</v>
      </c>
      <c r="B409" s="12"/>
      <c r="C409" s="11"/>
      <c r="D409" s="11"/>
      <c r="E409" s="11"/>
      <c r="F409" s="11"/>
      <c r="G409" s="3">
        <v>2</v>
      </c>
      <c r="H409" s="4" t="s">
        <v>718</v>
      </c>
      <c r="I409" s="4"/>
      <c r="J409" s="1" t="s">
        <v>719</v>
      </c>
      <c r="K409" s="9" t="s">
        <v>730</v>
      </c>
    </row>
    <row r="410" spans="1:11" x14ac:dyDescent="0.3">
      <c r="A410" s="9" t="str">
        <f t="shared" si="54"/>
        <v>16.09.2011</v>
      </c>
      <c r="B410" s="12"/>
      <c r="C410" s="11"/>
      <c r="D410" s="11"/>
      <c r="E410" s="11"/>
      <c r="F410" s="11"/>
      <c r="G410" s="3">
        <v>3</v>
      </c>
      <c r="H410" s="4" t="s">
        <v>732</v>
      </c>
      <c r="I410" s="4"/>
      <c r="J410" s="1" t="s">
        <v>720</v>
      </c>
      <c r="K410" s="9" t="s">
        <v>731</v>
      </c>
    </row>
    <row r="411" spans="1:11" x14ac:dyDescent="0.3">
      <c r="A411" s="9" t="str">
        <f t="shared" si="54"/>
        <v>16.09.2011</v>
      </c>
      <c r="B411" s="12"/>
      <c r="C411" s="11"/>
      <c r="D411" s="11"/>
      <c r="E411" s="11"/>
      <c r="F411" s="11"/>
      <c r="G411" s="3">
        <v>4</v>
      </c>
      <c r="H411" s="4" t="s">
        <v>734</v>
      </c>
      <c r="I411" s="4"/>
      <c r="J411" s="1" t="s">
        <v>733</v>
      </c>
      <c r="K411" s="9"/>
    </row>
    <row r="412" spans="1:11" x14ac:dyDescent="0.3">
      <c r="A412" s="9" t="str">
        <f t="shared" si="54"/>
        <v>16.09.2011</v>
      </c>
      <c r="B412" s="12"/>
      <c r="C412" s="11"/>
      <c r="D412" s="11"/>
      <c r="E412" s="11"/>
      <c r="F412" s="11"/>
      <c r="G412" s="3">
        <v>5</v>
      </c>
      <c r="H412" s="4" t="s">
        <v>721</v>
      </c>
      <c r="I412" s="4"/>
      <c r="J412" s="1" t="s">
        <v>722</v>
      </c>
      <c r="K412" s="9" t="s">
        <v>735</v>
      </c>
    </row>
    <row r="413" spans="1:11" x14ac:dyDescent="0.3">
      <c r="A413" s="9" t="str">
        <f t="shared" si="54"/>
        <v>16.09.2011</v>
      </c>
      <c r="B413" s="12"/>
      <c r="C413" s="11"/>
      <c r="D413" s="11"/>
      <c r="E413" s="11"/>
      <c r="F413" s="11"/>
      <c r="G413" s="3">
        <v>6</v>
      </c>
      <c r="H413" s="4" t="s">
        <v>723</v>
      </c>
      <c r="I413" s="4"/>
      <c r="J413" s="1" t="s">
        <v>724</v>
      </c>
      <c r="K413" s="9" t="s">
        <v>736</v>
      </c>
    </row>
    <row r="414" spans="1:11" x14ac:dyDescent="0.3">
      <c r="A414" s="9" t="str">
        <f t="shared" si="54"/>
        <v>16.09.2011</v>
      </c>
      <c r="B414" s="12"/>
      <c r="C414" s="11"/>
      <c r="D414" s="11"/>
      <c r="E414" s="11"/>
      <c r="F414" s="11"/>
      <c r="G414" s="3">
        <v>7</v>
      </c>
      <c r="H414" s="4" t="s">
        <v>728</v>
      </c>
      <c r="I414" s="4"/>
      <c r="J414" s="1" t="s">
        <v>725</v>
      </c>
      <c r="K414" s="9"/>
    </row>
    <row r="415" spans="1:11" x14ac:dyDescent="0.3">
      <c r="A415" s="9" t="str">
        <f t="shared" si="54"/>
        <v>16.09.2011</v>
      </c>
      <c r="B415" s="12"/>
      <c r="C415" s="11"/>
      <c r="D415" s="11"/>
      <c r="E415" s="11"/>
      <c r="F415" s="11"/>
      <c r="G415" s="3">
        <v>8</v>
      </c>
      <c r="H415" s="4" t="s">
        <v>726</v>
      </c>
      <c r="I415" s="4"/>
      <c r="J415" s="1" t="s">
        <v>727</v>
      </c>
      <c r="K415" s="9" t="s">
        <v>737</v>
      </c>
    </row>
    <row r="416" spans="1:11" x14ac:dyDescent="0.3">
      <c r="A416" s="9" t="str">
        <f>"21.07.2011"</f>
        <v>21.07.2011</v>
      </c>
      <c r="B416" s="12" t="s">
        <v>738</v>
      </c>
      <c r="C416" s="11"/>
      <c r="D416" s="11"/>
      <c r="E416" s="11"/>
      <c r="F416" s="11"/>
      <c r="G416" s="3">
        <v>1</v>
      </c>
      <c r="H416" s="4" t="s">
        <v>739</v>
      </c>
      <c r="I416" s="4"/>
      <c r="J416" s="1" t="s">
        <v>742</v>
      </c>
      <c r="K416" s="9" t="s">
        <v>746</v>
      </c>
    </row>
    <row r="417" spans="1:11" x14ac:dyDescent="0.3">
      <c r="A417" s="9" t="str">
        <f t="shared" ref="A417:A419" si="55">"21.07.2011"</f>
        <v>21.07.2011</v>
      </c>
      <c r="B417" s="12"/>
      <c r="C417" s="11"/>
      <c r="D417" s="11"/>
      <c r="E417" s="11"/>
      <c r="F417" s="11"/>
      <c r="G417" s="3">
        <v>2</v>
      </c>
      <c r="H417" s="4" t="s">
        <v>740</v>
      </c>
      <c r="I417" s="4"/>
      <c r="J417" s="1" t="s">
        <v>743</v>
      </c>
      <c r="K417" s="9" t="s">
        <v>747</v>
      </c>
    </row>
    <row r="418" spans="1:11" x14ac:dyDescent="0.3">
      <c r="A418" s="9" t="str">
        <f t="shared" si="55"/>
        <v>21.07.2011</v>
      </c>
      <c r="B418" s="12"/>
      <c r="C418" s="11"/>
      <c r="D418" s="11"/>
      <c r="E418" s="11"/>
      <c r="F418" s="11"/>
      <c r="G418" s="3">
        <v>3</v>
      </c>
      <c r="H418" s="4" t="s">
        <v>741</v>
      </c>
      <c r="I418" s="4"/>
      <c r="J418" s="1" t="s">
        <v>744</v>
      </c>
      <c r="K418" s="9" t="s">
        <v>748</v>
      </c>
    </row>
    <row r="419" spans="1:11" x14ac:dyDescent="0.3">
      <c r="A419" s="9" t="str">
        <f t="shared" si="55"/>
        <v>21.07.2011</v>
      </c>
      <c r="B419" s="12"/>
      <c r="C419" s="11"/>
      <c r="D419" s="11"/>
      <c r="E419" s="11"/>
      <c r="F419" s="11"/>
      <c r="G419" s="3">
        <v>4</v>
      </c>
      <c r="H419" s="4" t="s">
        <v>685</v>
      </c>
      <c r="I419" s="4"/>
      <c r="J419" s="1" t="s">
        <v>745</v>
      </c>
      <c r="K419" s="9" t="s">
        <v>749</v>
      </c>
    </row>
    <row r="420" spans="1:11" x14ac:dyDescent="0.3">
      <c r="A420" s="9" t="str">
        <f>"10.05.2011"</f>
        <v>10.05.2011</v>
      </c>
      <c r="B420" s="12" t="s">
        <v>750</v>
      </c>
      <c r="C420" s="11"/>
      <c r="D420" s="11"/>
      <c r="E420" s="11"/>
      <c r="F420" s="11"/>
      <c r="G420" s="3">
        <v>1</v>
      </c>
      <c r="H420" s="4" t="s">
        <v>201</v>
      </c>
      <c r="I420" s="4"/>
      <c r="J420" s="1" t="s">
        <v>755</v>
      </c>
      <c r="K420" s="9" t="s">
        <v>215</v>
      </c>
    </row>
    <row r="421" spans="1:11" x14ac:dyDescent="0.3">
      <c r="A421" s="9" t="str">
        <f t="shared" ref="A421:A428" si="56">"10.05.2011"</f>
        <v>10.05.2011</v>
      </c>
      <c r="B421" s="12"/>
      <c r="C421" s="11"/>
      <c r="D421" s="11"/>
      <c r="E421" s="11"/>
      <c r="F421" s="11"/>
      <c r="G421" s="3">
        <v>2</v>
      </c>
      <c r="H421" s="4" t="s">
        <v>751</v>
      </c>
      <c r="I421" s="4"/>
      <c r="J421" s="1" t="s">
        <v>756</v>
      </c>
      <c r="K421" s="9" t="s">
        <v>764</v>
      </c>
    </row>
    <row r="422" spans="1:11" x14ac:dyDescent="0.3">
      <c r="A422" s="9" t="str">
        <f t="shared" si="56"/>
        <v>10.05.2011</v>
      </c>
      <c r="B422" s="12"/>
      <c r="C422" s="11"/>
      <c r="D422" s="11"/>
      <c r="E422" s="11"/>
      <c r="F422" s="11"/>
      <c r="G422" s="3">
        <v>3</v>
      </c>
      <c r="H422" s="4" t="s">
        <v>651</v>
      </c>
      <c r="I422" s="4"/>
      <c r="J422" s="1" t="s">
        <v>757</v>
      </c>
      <c r="K422" s="9" t="s">
        <v>765</v>
      </c>
    </row>
    <row r="423" spans="1:11" x14ac:dyDescent="0.3">
      <c r="A423" s="9" t="str">
        <f t="shared" si="56"/>
        <v>10.05.2011</v>
      </c>
      <c r="B423" s="12"/>
      <c r="C423" s="11"/>
      <c r="D423" s="11"/>
      <c r="E423" s="11"/>
      <c r="F423" s="11"/>
      <c r="G423" s="3">
        <v>4</v>
      </c>
      <c r="H423" s="4" t="s">
        <v>752</v>
      </c>
      <c r="I423" s="4"/>
      <c r="J423" s="1" t="s">
        <v>758</v>
      </c>
      <c r="K423" s="9" t="s">
        <v>766</v>
      </c>
    </row>
    <row r="424" spans="1:11" x14ac:dyDescent="0.3">
      <c r="A424" s="9" t="str">
        <f t="shared" si="56"/>
        <v>10.05.2011</v>
      </c>
      <c r="B424" s="12"/>
      <c r="C424" s="11"/>
      <c r="D424" s="11"/>
      <c r="E424" s="11"/>
      <c r="F424" s="11"/>
      <c r="G424" s="3">
        <v>5</v>
      </c>
      <c r="H424" s="4" t="s">
        <v>753</v>
      </c>
      <c r="I424" s="4"/>
      <c r="J424" s="1" t="s">
        <v>759</v>
      </c>
      <c r="K424" s="9" t="s">
        <v>767</v>
      </c>
    </row>
    <row r="425" spans="1:11" x14ac:dyDescent="0.3">
      <c r="A425" s="9" t="str">
        <f t="shared" si="56"/>
        <v>10.05.2011</v>
      </c>
      <c r="B425" s="12"/>
      <c r="C425" s="11"/>
      <c r="D425" s="11"/>
      <c r="E425" s="11"/>
      <c r="F425" s="11"/>
      <c r="G425" s="3">
        <v>6</v>
      </c>
      <c r="H425" s="4" t="s">
        <v>739</v>
      </c>
      <c r="I425" s="4"/>
      <c r="J425" s="1" t="s">
        <v>760</v>
      </c>
      <c r="K425" s="9" t="s">
        <v>768</v>
      </c>
    </row>
    <row r="426" spans="1:11" x14ac:dyDescent="0.3">
      <c r="A426" s="9" t="str">
        <f t="shared" si="56"/>
        <v>10.05.2011</v>
      </c>
      <c r="B426" s="12"/>
      <c r="C426" s="11"/>
      <c r="D426" s="11"/>
      <c r="E426" s="11"/>
      <c r="F426" s="11"/>
      <c r="G426" s="3">
        <v>7</v>
      </c>
      <c r="H426" s="4" t="s">
        <v>754</v>
      </c>
      <c r="I426" s="4"/>
      <c r="J426" s="1" t="s">
        <v>761</v>
      </c>
      <c r="K426" s="9" t="s">
        <v>769</v>
      </c>
    </row>
    <row r="427" spans="1:11" x14ac:dyDescent="0.3">
      <c r="A427" s="9" t="str">
        <f t="shared" si="56"/>
        <v>10.05.2011</v>
      </c>
      <c r="B427" s="12"/>
      <c r="C427" s="11"/>
      <c r="D427" s="11"/>
      <c r="E427" s="11"/>
      <c r="F427" s="11"/>
      <c r="G427" s="3">
        <v>8</v>
      </c>
      <c r="H427" s="4" t="s">
        <v>655</v>
      </c>
      <c r="I427" s="4"/>
      <c r="J427" s="1" t="s">
        <v>762</v>
      </c>
      <c r="K427" s="9" t="s">
        <v>770</v>
      </c>
    </row>
    <row r="428" spans="1:11" x14ac:dyDescent="0.3">
      <c r="A428" s="9" t="str">
        <f t="shared" si="56"/>
        <v>10.05.2011</v>
      </c>
      <c r="B428" s="12"/>
      <c r="C428" s="11"/>
      <c r="D428" s="11"/>
      <c r="E428" s="11"/>
      <c r="F428" s="11"/>
      <c r="G428" s="3">
        <v>9</v>
      </c>
      <c r="H428" s="4" t="s">
        <v>752</v>
      </c>
      <c r="I428" s="4"/>
      <c r="J428" s="1" t="s">
        <v>763</v>
      </c>
      <c r="K428" s="9" t="s">
        <v>771</v>
      </c>
    </row>
    <row r="429" spans="1:11" x14ac:dyDescent="0.3">
      <c r="A429" s="9" t="str">
        <f>"07.05.2011"</f>
        <v>07.05.2011</v>
      </c>
      <c r="B429" s="12" t="s">
        <v>772</v>
      </c>
      <c r="C429" s="11"/>
      <c r="D429" s="11"/>
      <c r="E429" s="11"/>
      <c r="F429" s="11"/>
      <c r="G429" s="3">
        <v>1</v>
      </c>
      <c r="H429" s="4" t="s">
        <v>773</v>
      </c>
      <c r="I429" s="4"/>
      <c r="J429" s="1" t="s">
        <v>777</v>
      </c>
      <c r="K429" s="9" t="s">
        <v>783</v>
      </c>
    </row>
    <row r="430" spans="1:11" x14ac:dyDescent="0.3">
      <c r="A430" s="9" t="str">
        <f t="shared" ref="A430:A433" si="57">"07.05.2011"</f>
        <v>07.05.2011</v>
      </c>
      <c r="B430" s="12"/>
      <c r="C430" s="11"/>
      <c r="D430" s="11"/>
      <c r="E430" s="11"/>
      <c r="F430" s="11"/>
      <c r="G430" s="3">
        <v>2</v>
      </c>
      <c r="H430" s="4" t="s">
        <v>774</v>
      </c>
      <c r="I430" s="4"/>
      <c r="J430" s="1" t="s">
        <v>778</v>
      </c>
      <c r="K430" s="9" t="s">
        <v>784</v>
      </c>
    </row>
    <row r="431" spans="1:11" x14ac:dyDescent="0.3">
      <c r="A431" s="9" t="str">
        <f t="shared" si="57"/>
        <v>07.05.2011</v>
      </c>
      <c r="B431" s="12"/>
      <c r="C431" s="11"/>
      <c r="D431" s="11"/>
      <c r="E431" s="11"/>
      <c r="F431" s="11"/>
      <c r="G431" s="3">
        <v>3</v>
      </c>
      <c r="H431" s="4" t="s">
        <v>782</v>
      </c>
      <c r="I431" s="4"/>
      <c r="J431" s="1" t="s">
        <v>781</v>
      </c>
      <c r="K431" s="9"/>
    </row>
    <row r="432" spans="1:11" x14ac:dyDescent="0.3">
      <c r="A432" s="9" t="str">
        <f t="shared" si="57"/>
        <v>07.05.2011</v>
      </c>
      <c r="B432" s="12"/>
      <c r="C432" s="11"/>
      <c r="D432" s="11"/>
      <c r="E432" s="11"/>
      <c r="F432" s="11"/>
      <c r="G432" s="3">
        <v>4</v>
      </c>
      <c r="H432" s="4" t="s">
        <v>775</v>
      </c>
      <c r="I432" s="4"/>
      <c r="J432" s="1" t="s">
        <v>779</v>
      </c>
      <c r="K432" s="9" t="s">
        <v>785</v>
      </c>
    </row>
    <row r="433" spans="1:11" x14ac:dyDescent="0.3">
      <c r="A433" s="9" t="str">
        <f t="shared" si="57"/>
        <v>07.05.2011</v>
      </c>
      <c r="B433" s="12"/>
      <c r="C433" s="11"/>
      <c r="D433" s="11"/>
      <c r="E433" s="11"/>
      <c r="F433" s="11"/>
      <c r="G433" s="3">
        <v>5</v>
      </c>
      <c r="H433" s="4" t="s">
        <v>776</v>
      </c>
      <c r="I433" s="4"/>
      <c r="J433" s="1" t="s">
        <v>780</v>
      </c>
      <c r="K433" s="9" t="s">
        <v>786</v>
      </c>
    </row>
    <row r="434" spans="1:11" x14ac:dyDescent="0.3">
      <c r="A434" s="9" t="str">
        <f>"13.01.2011"</f>
        <v>13.01.2011</v>
      </c>
      <c r="B434" s="12" t="s">
        <v>787</v>
      </c>
      <c r="C434" s="11"/>
      <c r="D434" s="11"/>
      <c r="E434" s="11"/>
      <c r="F434" s="11"/>
      <c r="G434" s="3">
        <v>1</v>
      </c>
      <c r="H434" s="4" t="s">
        <v>793</v>
      </c>
      <c r="I434" s="4"/>
      <c r="J434" s="1" t="s">
        <v>794</v>
      </c>
      <c r="K434" s="9" t="s">
        <v>788</v>
      </c>
    </row>
    <row r="435" spans="1:11" x14ac:dyDescent="0.3">
      <c r="A435" s="9" t="str">
        <f>"13.01.2011"</f>
        <v>13.01.2011</v>
      </c>
      <c r="B435" s="12"/>
      <c r="C435" s="11"/>
      <c r="D435" s="11"/>
      <c r="E435" s="11"/>
      <c r="F435" s="11"/>
      <c r="G435" s="3">
        <v>2</v>
      </c>
      <c r="H435" s="4" t="s">
        <v>795</v>
      </c>
      <c r="I435" s="4"/>
      <c r="J435" s="1" t="s">
        <v>796</v>
      </c>
      <c r="K435" s="9" t="s">
        <v>308</v>
      </c>
    </row>
    <row r="436" spans="1:11" x14ac:dyDescent="0.3">
      <c r="A436" s="9" t="str">
        <f>"30.11.2010"</f>
        <v>30.11.2010</v>
      </c>
      <c r="B436" s="12" t="s">
        <v>713</v>
      </c>
      <c r="C436" s="11"/>
      <c r="D436" s="11"/>
      <c r="E436" s="11"/>
      <c r="F436" s="11"/>
      <c r="G436" s="3">
        <v>1</v>
      </c>
      <c r="H436" s="4" t="s">
        <v>789</v>
      </c>
      <c r="I436" s="4"/>
      <c r="J436" s="1" t="s">
        <v>791</v>
      </c>
      <c r="K436" s="9"/>
    </row>
    <row r="437" spans="1:11" x14ac:dyDescent="0.3">
      <c r="A437" s="9" t="str">
        <f>"30.11.2010"</f>
        <v>30.11.2010</v>
      </c>
      <c r="B437" s="12"/>
      <c r="C437" s="11"/>
      <c r="D437" s="11"/>
      <c r="E437" s="11"/>
      <c r="F437" s="11"/>
      <c r="G437" s="3">
        <v>2</v>
      </c>
      <c r="H437" s="4" t="s">
        <v>790</v>
      </c>
      <c r="I437" s="4"/>
      <c r="J437" s="1" t="s">
        <v>792</v>
      </c>
      <c r="K437" s="9"/>
    </row>
    <row r="438" spans="1:11" x14ac:dyDescent="0.3">
      <c r="A438" s="9" t="str">
        <f>"04.10.2010"</f>
        <v>04.10.2010</v>
      </c>
      <c r="B438" s="12" t="s">
        <v>797</v>
      </c>
      <c r="C438" s="11"/>
      <c r="D438" s="11"/>
      <c r="E438" s="11"/>
      <c r="F438" s="11"/>
      <c r="G438" s="3">
        <v>1</v>
      </c>
      <c r="H438" s="4" t="s">
        <v>798</v>
      </c>
      <c r="I438" s="4" t="s">
        <v>799</v>
      </c>
      <c r="J438" s="1" t="s">
        <v>800</v>
      </c>
    </row>
    <row r="439" spans="1:11" x14ac:dyDescent="0.3">
      <c r="A439" s="9" t="str">
        <f t="shared" ref="A439:A448" si="58">"04.10.2010"</f>
        <v>04.10.2010</v>
      </c>
      <c r="B439" s="12"/>
      <c r="C439" s="11"/>
      <c r="D439" s="11"/>
      <c r="E439" s="11"/>
      <c r="F439" s="11"/>
      <c r="G439" s="3">
        <v>2</v>
      </c>
      <c r="H439" s="4" t="s">
        <v>801</v>
      </c>
      <c r="I439" s="4" t="s">
        <v>66</v>
      </c>
      <c r="J439" s="1" t="s">
        <v>802</v>
      </c>
    </row>
    <row r="440" spans="1:11" x14ac:dyDescent="0.3">
      <c r="A440" s="9" t="str">
        <f t="shared" si="58"/>
        <v>04.10.2010</v>
      </c>
      <c r="B440" s="12"/>
      <c r="C440" s="11"/>
      <c r="D440" s="11"/>
      <c r="E440" s="11"/>
      <c r="F440" s="11"/>
      <c r="G440" s="3">
        <v>3</v>
      </c>
      <c r="H440" s="4" t="s">
        <v>525</v>
      </c>
      <c r="I440" s="4" t="s">
        <v>69</v>
      </c>
      <c r="J440" s="1" t="s">
        <v>803</v>
      </c>
    </row>
    <row r="441" spans="1:11" x14ac:dyDescent="0.3">
      <c r="A441" s="9" t="str">
        <f t="shared" si="58"/>
        <v>04.10.2010</v>
      </c>
      <c r="B441" s="12"/>
      <c r="C441" s="11"/>
      <c r="D441" s="11"/>
      <c r="E441" s="11"/>
      <c r="F441" s="11"/>
      <c r="G441" s="3">
        <v>4</v>
      </c>
      <c r="H441" s="4" t="s">
        <v>804</v>
      </c>
      <c r="I441" s="4" t="s">
        <v>805</v>
      </c>
      <c r="J441" s="1" t="s">
        <v>806</v>
      </c>
    </row>
    <row r="442" spans="1:11" x14ac:dyDescent="0.3">
      <c r="A442" s="9" t="str">
        <f t="shared" si="58"/>
        <v>04.10.2010</v>
      </c>
      <c r="B442" s="12"/>
      <c r="C442" s="11"/>
      <c r="D442" s="11"/>
      <c r="E442" s="11"/>
      <c r="F442" s="11"/>
      <c r="G442" s="3">
        <v>5</v>
      </c>
      <c r="H442" s="4" t="s">
        <v>10</v>
      </c>
      <c r="I442" s="4" t="s">
        <v>807</v>
      </c>
      <c r="J442" s="1" t="s">
        <v>808</v>
      </c>
      <c r="K442" s="9"/>
    </row>
    <row r="443" spans="1:11" x14ac:dyDescent="0.3">
      <c r="A443" s="9" t="str">
        <f t="shared" si="58"/>
        <v>04.10.2010</v>
      </c>
      <c r="B443" s="12"/>
      <c r="C443" s="11"/>
      <c r="D443" s="11"/>
      <c r="E443" s="11"/>
      <c r="F443" s="11"/>
      <c r="G443" s="3">
        <v>6</v>
      </c>
      <c r="H443" s="4" t="s">
        <v>809</v>
      </c>
      <c r="I443" s="4" t="s">
        <v>810</v>
      </c>
      <c r="J443" s="1" t="s">
        <v>811</v>
      </c>
      <c r="K443" t="s">
        <v>822</v>
      </c>
    </row>
    <row r="444" spans="1:11" x14ac:dyDescent="0.3">
      <c r="A444" s="9" t="str">
        <f t="shared" si="58"/>
        <v>04.10.2010</v>
      </c>
      <c r="B444" s="12"/>
      <c r="C444" s="11"/>
      <c r="D444" s="11"/>
      <c r="E444" s="11"/>
      <c r="F444" s="11"/>
      <c r="G444" s="3">
        <v>7</v>
      </c>
      <c r="H444" s="4" t="s">
        <v>812</v>
      </c>
      <c r="I444" s="4" t="s">
        <v>810</v>
      </c>
      <c r="J444" s="1" t="s">
        <v>813</v>
      </c>
      <c r="K444" t="s">
        <v>823</v>
      </c>
    </row>
    <row r="445" spans="1:11" x14ac:dyDescent="0.3">
      <c r="A445" s="9" t="str">
        <f t="shared" si="58"/>
        <v>04.10.2010</v>
      </c>
      <c r="B445" s="12"/>
      <c r="C445" s="11"/>
      <c r="D445" s="11"/>
      <c r="E445" s="11"/>
      <c r="F445" s="11"/>
      <c r="G445" s="3">
        <v>8</v>
      </c>
      <c r="H445" s="4" t="s">
        <v>523</v>
      </c>
      <c r="I445" s="4" t="s">
        <v>261</v>
      </c>
      <c r="J445" s="1"/>
    </row>
    <row r="446" spans="1:11" x14ac:dyDescent="0.3">
      <c r="A446" s="9" t="str">
        <f t="shared" si="58"/>
        <v>04.10.2010</v>
      </c>
      <c r="B446" s="12"/>
      <c r="C446" s="11"/>
      <c r="D446" s="11"/>
      <c r="E446" s="11"/>
      <c r="F446" s="11"/>
      <c r="G446" s="3">
        <v>9</v>
      </c>
      <c r="H446" s="4" t="s">
        <v>481</v>
      </c>
      <c r="I446" s="4" t="s">
        <v>814</v>
      </c>
      <c r="J446" s="1" t="s">
        <v>815</v>
      </c>
      <c r="K446" t="s">
        <v>668</v>
      </c>
    </row>
    <row r="447" spans="1:11" x14ac:dyDescent="0.3">
      <c r="A447" s="9" t="str">
        <f t="shared" si="58"/>
        <v>04.10.2010</v>
      </c>
      <c r="B447" s="12"/>
      <c r="C447" s="11"/>
      <c r="D447" s="11"/>
      <c r="E447" s="11"/>
      <c r="F447" s="11"/>
      <c r="G447" s="3">
        <v>10</v>
      </c>
      <c r="H447" s="4" t="s">
        <v>816</v>
      </c>
      <c r="I447" s="4" t="s">
        <v>69</v>
      </c>
      <c r="J447" s="1" t="s">
        <v>817</v>
      </c>
      <c r="K447" s="9"/>
    </row>
    <row r="448" spans="1:11" x14ac:dyDescent="0.3">
      <c r="A448" s="9" t="str">
        <f t="shared" si="58"/>
        <v>04.10.2010</v>
      </c>
      <c r="B448" s="12"/>
      <c r="C448" s="11"/>
      <c r="D448" s="11"/>
      <c r="E448" s="11"/>
      <c r="F448" s="11"/>
      <c r="G448" s="3">
        <v>11</v>
      </c>
      <c r="H448" s="4" t="s">
        <v>819</v>
      </c>
      <c r="I448" s="4" t="s">
        <v>818</v>
      </c>
      <c r="J448" s="1" t="s">
        <v>820</v>
      </c>
      <c r="K448" s="9" t="s">
        <v>821</v>
      </c>
    </row>
    <row r="449" spans="1:11" x14ac:dyDescent="0.3">
      <c r="A449" s="9" t="str">
        <f>"24.06.2010"</f>
        <v>24.06.2010</v>
      </c>
      <c r="B449" s="12" t="s">
        <v>824</v>
      </c>
      <c r="C449" s="11"/>
      <c r="D449" s="11"/>
      <c r="E449" s="11"/>
      <c r="F449" s="11"/>
      <c r="G449" s="3">
        <v>1</v>
      </c>
      <c r="H449" s="4" t="s">
        <v>826</v>
      </c>
      <c r="I449" s="4" t="s">
        <v>828</v>
      </c>
      <c r="J449" s="1" t="s">
        <v>825</v>
      </c>
      <c r="K449" s="9"/>
    </row>
    <row r="450" spans="1:11" x14ac:dyDescent="0.3">
      <c r="A450" s="9" t="str">
        <f t="shared" ref="A450:A455" si="59">"24.06.2010"</f>
        <v>24.06.2010</v>
      </c>
      <c r="B450" s="12"/>
      <c r="C450" s="11"/>
      <c r="D450" s="11"/>
      <c r="E450" s="11"/>
      <c r="F450" s="11"/>
      <c r="G450" s="3">
        <v>2</v>
      </c>
      <c r="H450" s="4" t="s">
        <v>41</v>
      </c>
      <c r="I450" s="4" t="s">
        <v>829</v>
      </c>
      <c r="J450" s="1" t="s">
        <v>830</v>
      </c>
      <c r="K450" s="9"/>
    </row>
    <row r="451" spans="1:11" x14ac:dyDescent="0.3">
      <c r="A451" s="9" t="str">
        <f t="shared" si="59"/>
        <v>24.06.2010</v>
      </c>
      <c r="B451" s="12"/>
      <c r="C451" s="11"/>
      <c r="D451" s="11"/>
      <c r="E451" s="11"/>
      <c r="F451" s="11"/>
      <c r="G451" s="3">
        <v>3</v>
      </c>
      <c r="H451" s="4" t="s">
        <v>835</v>
      </c>
      <c r="I451" s="4" t="s">
        <v>69</v>
      </c>
      <c r="J451" s="1" t="s">
        <v>831</v>
      </c>
      <c r="K451" s="9"/>
    </row>
    <row r="452" spans="1:11" x14ac:dyDescent="0.3">
      <c r="A452" s="9" t="str">
        <f t="shared" si="59"/>
        <v>24.06.2010</v>
      </c>
      <c r="B452" s="12"/>
      <c r="C452" s="11"/>
      <c r="D452" s="11"/>
      <c r="E452" s="11"/>
      <c r="F452" s="11"/>
      <c r="G452" s="3">
        <v>4</v>
      </c>
      <c r="H452" s="4" t="s">
        <v>836</v>
      </c>
      <c r="I452" s="4" t="s">
        <v>69</v>
      </c>
      <c r="J452" s="1" t="s">
        <v>832</v>
      </c>
      <c r="K452" s="9"/>
    </row>
    <row r="453" spans="1:11" x14ac:dyDescent="0.3">
      <c r="A453" s="9" t="str">
        <f t="shared" si="59"/>
        <v>24.06.2010</v>
      </c>
      <c r="B453" s="12"/>
      <c r="C453" s="11"/>
      <c r="D453" s="11"/>
      <c r="E453" s="11"/>
      <c r="F453" s="11"/>
      <c r="G453" s="3">
        <v>5</v>
      </c>
      <c r="H453" s="4" t="s">
        <v>838</v>
      </c>
      <c r="I453" s="4" t="s">
        <v>837</v>
      </c>
      <c r="J453" s="1" t="s">
        <v>833</v>
      </c>
      <c r="K453" s="9"/>
    </row>
    <row r="454" spans="1:11" x14ac:dyDescent="0.3">
      <c r="A454" s="9" t="str">
        <f t="shared" si="59"/>
        <v>24.06.2010</v>
      </c>
      <c r="B454" s="12"/>
      <c r="C454" s="11"/>
      <c r="D454" s="11"/>
      <c r="E454" s="11"/>
      <c r="F454" s="11"/>
      <c r="G454" s="3">
        <v>6</v>
      </c>
      <c r="H454" s="4" t="s">
        <v>839</v>
      </c>
      <c r="I454" s="4" t="s">
        <v>840</v>
      </c>
      <c r="J454" s="1" t="s">
        <v>834</v>
      </c>
      <c r="K454" s="9"/>
    </row>
    <row r="455" spans="1:11" x14ac:dyDescent="0.3">
      <c r="A455" s="9" t="str">
        <f t="shared" si="59"/>
        <v>24.06.2010</v>
      </c>
      <c r="B455" s="12"/>
      <c r="C455" s="11"/>
      <c r="D455" s="11"/>
      <c r="E455" s="11"/>
      <c r="F455" s="11"/>
      <c r="G455" s="3">
        <v>7</v>
      </c>
      <c r="H455" s="4" t="s">
        <v>841</v>
      </c>
      <c r="I455" s="4" t="s">
        <v>66</v>
      </c>
      <c r="J455" s="1" t="s">
        <v>827</v>
      </c>
      <c r="K455" s="9"/>
    </row>
    <row r="456" spans="1:11" x14ac:dyDescent="0.3">
      <c r="A456" s="9" t="str">
        <f>"28.04.2010"</f>
        <v>28.04.2010</v>
      </c>
      <c r="B456" s="12" t="s">
        <v>842</v>
      </c>
      <c r="C456" s="11"/>
      <c r="D456" s="11"/>
      <c r="E456" s="11"/>
      <c r="F456" s="11"/>
      <c r="G456" s="3">
        <v>1</v>
      </c>
      <c r="H456" s="4" t="s">
        <v>843</v>
      </c>
      <c r="I456" s="4" t="s">
        <v>66</v>
      </c>
      <c r="J456" s="1" t="s">
        <v>844</v>
      </c>
      <c r="K456" s="9"/>
    </row>
    <row r="457" spans="1:11" x14ac:dyDescent="0.3">
      <c r="A457" s="9" t="str">
        <f>"28.04.2010"</f>
        <v>28.04.2010</v>
      </c>
      <c r="B457" s="12"/>
      <c r="C457" s="11"/>
      <c r="D457" s="11"/>
      <c r="E457" s="11"/>
      <c r="F457" s="11"/>
      <c r="G457" s="3">
        <v>2</v>
      </c>
      <c r="H457" s="4" t="s">
        <v>845</v>
      </c>
      <c r="I457" s="4" t="s">
        <v>847</v>
      </c>
      <c r="J457" s="1" t="s">
        <v>846</v>
      </c>
      <c r="K457" s="9" t="s">
        <v>848</v>
      </c>
    </row>
    <row r="458" spans="1:11" x14ac:dyDescent="0.3">
      <c r="A458" s="9" t="str">
        <f>"12.03.2010"</f>
        <v>12.03.2010</v>
      </c>
      <c r="B458" s="12" t="s">
        <v>713</v>
      </c>
      <c r="C458" s="11"/>
      <c r="D458" s="11"/>
      <c r="E458" s="11"/>
      <c r="F458" s="11"/>
      <c r="G458" s="3">
        <v>1</v>
      </c>
      <c r="H458" s="4" t="s">
        <v>849</v>
      </c>
      <c r="I458" s="4"/>
      <c r="J458" s="1" t="s">
        <v>856</v>
      </c>
      <c r="K458" s="9" t="s">
        <v>863</v>
      </c>
    </row>
    <row r="459" spans="1:11" x14ac:dyDescent="0.3">
      <c r="A459" s="9" t="str">
        <f t="shared" ref="A459:A464" si="60">"12.03.2010"</f>
        <v>12.03.2010</v>
      </c>
      <c r="B459" s="12"/>
      <c r="C459" s="11"/>
      <c r="D459" s="11"/>
      <c r="E459" s="11"/>
      <c r="F459" s="11"/>
      <c r="G459" s="3">
        <v>2</v>
      </c>
      <c r="H459" s="4" t="s">
        <v>850</v>
      </c>
      <c r="I459" s="4"/>
      <c r="J459" s="1" t="s">
        <v>857</v>
      </c>
      <c r="K459" s="9" t="s">
        <v>864</v>
      </c>
    </row>
    <row r="460" spans="1:11" x14ac:dyDescent="0.3">
      <c r="A460" s="9" t="str">
        <f t="shared" si="60"/>
        <v>12.03.2010</v>
      </c>
      <c r="B460" s="12"/>
      <c r="C460" s="11"/>
      <c r="D460" s="11"/>
      <c r="E460" s="11"/>
      <c r="F460" s="11"/>
      <c r="G460" s="3">
        <v>3</v>
      </c>
      <c r="H460" s="4" t="s">
        <v>851</v>
      </c>
      <c r="I460" s="4"/>
      <c r="J460" s="1" t="s">
        <v>858</v>
      </c>
      <c r="K460" s="9" t="s">
        <v>865</v>
      </c>
    </row>
    <row r="461" spans="1:11" x14ac:dyDescent="0.3">
      <c r="A461" s="9" t="str">
        <f t="shared" si="60"/>
        <v>12.03.2010</v>
      </c>
      <c r="B461" s="12"/>
      <c r="C461" s="11"/>
      <c r="D461" s="11"/>
      <c r="E461" s="11"/>
      <c r="F461" s="11"/>
      <c r="G461" s="3">
        <v>4</v>
      </c>
      <c r="H461" s="4" t="s">
        <v>852</v>
      </c>
      <c r="I461" s="4"/>
      <c r="J461" s="1" t="s">
        <v>859</v>
      </c>
      <c r="K461" s="9" t="s">
        <v>866</v>
      </c>
    </row>
    <row r="462" spans="1:11" x14ac:dyDescent="0.3">
      <c r="A462" s="9" t="str">
        <f t="shared" si="60"/>
        <v>12.03.2010</v>
      </c>
      <c r="B462" s="12"/>
      <c r="C462" s="11"/>
      <c r="D462" s="11"/>
      <c r="E462" s="11"/>
      <c r="F462" s="11"/>
      <c r="G462" s="3">
        <v>5</v>
      </c>
      <c r="H462" s="4" t="s">
        <v>853</v>
      </c>
      <c r="I462" s="4"/>
      <c r="J462" s="1" t="s">
        <v>860</v>
      </c>
      <c r="K462" s="9" t="s">
        <v>867</v>
      </c>
    </row>
    <row r="463" spans="1:11" x14ac:dyDescent="0.3">
      <c r="A463" s="9" t="str">
        <f t="shared" si="60"/>
        <v>12.03.2010</v>
      </c>
      <c r="B463" s="12"/>
      <c r="C463" s="11"/>
      <c r="D463" s="11"/>
      <c r="E463" s="11"/>
      <c r="F463" s="11"/>
      <c r="G463" s="3">
        <v>6</v>
      </c>
      <c r="H463" s="4" t="s">
        <v>854</v>
      </c>
      <c r="I463" s="4"/>
      <c r="J463" s="1" t="s">
        <v>861</v>
      </c>
      <c r="K463" s="9" t="s">
        <v>868</v>
      </c>
    </row>
    <row r="464" spans="1:11" x14ac:dyDescent="0.3">
      <c r="A464" s="9" t="str">
        <f t="shared" si="60"/>
        <v>12.03.2010</v>
      </c>
      <c r="B464" s="12"/>
      <c r="C464" s="11"/>
      <c r="D464" s="11"/>
      <c r="E464" s="11"/>
      <c r="F464" s="11"/>
      <c r="G464" s="3">
        <v>7</v>
      </c>
      <c r="H464" s="4" t="s">
        <v>855</v>
      </c>
      <c r="I464" s="4"/>
      <c r="J464" s="1" t="s">
        <v>862</v>
      </c>
      <c r="K464" s="9" t="s">
        <v>869</v>
      </c>
    </row>
    <row r="465" spans="1:11" x14ac:dyDescent="0.3">
      <c r="A465" s="9" t="str">
        <f>"12.01.2010"</f>
        <v>12.01.2010</v>
      </c>
      <c r="B465" s="12" t="s">
        <v>870</v>
      </c>
      <c r="C465" s="11"/>
      <c r="D465" s="11"/>
      <c r="E465" s="11"/>
      <c r="F465" s="11"/>
      <c r="G465" s="3">
        <v>1</v>
      </c>
      <c r="H465" s="4" t="s">
        <v>872</v>
      </c>
      <c r="I465" s="4" t="s">
        <v>871</v>
      </c>
      <c r="J465" s="1" t="s">
        <v>873</v>
      </c>
      <c r="K465" s="9"/>
    </row>
    <row r="466" spans="1:11" x14ac:dyDescent="0.3">
      <c r="A466" s="9" t="str">
        <f>"12.01.2010"</f>
        <v>12.01.2010</v>
      </c>
      <c r="B466" s="12"/>
      <c r="C466" s="11"/>
      <c r="D466" s="11"/>
      <c r="E466" s="11"/>
      <c r="F466" s="11"/>
      <c r="G466" s="3">
        <v>2</v>
      </c>
      <c r="H466" s="4" t="s">
        <v>177</v>
      </c>
      <c r="I466" s="4" t="s">
        <v>871</v>
      </c>
      <c r="J466" s="1" t="s">
        <v>874</v>
      </c>
      <c r="K466" s="9"/>
    </row>
    <row r="467" spans="1:11" x14ac:dyDescent="0.3">
      <c r="A467" s="9" t="str">
        <f>"07.12.2009"</f>
        <v>07.12.2009</v>
      </c>
      <c r="B467" s="12" t="s">
        <v>875</v>
      </c>
      <c r="C467" s="11"/>
      <c r="D467" s="11"/>
      <c r="E467" s="11"/>
      <c r="F467" s="11"/>
      <c r="G467" s="3">
        <v>1</v>
      </c>
      <c r="H467" s="4" t="s">
        <v>876</v>
      </c>
      <c r="I467" s="4" t="s">
        <v>877</v>
      </c>
      <c r="J467" s="1" t="s">
        <v>878</v>
      </c>
      <c r="K467" s="9"/>
    </row>
    <row r="468" spans="1:11" x14ac:dyDescent="0.3">
      <c r="A468" s="9" t="str">
        <f>"07.12.2009"</f>
        <v>07.12.2009</v>
      </c>
      <c r="B468" s="12"/>
      <c r="C468" s="11"/>
      <c r="D468" s="11"/>
      <c r="E468" s="11"/>
      <c r="F468" s="11"/>
      <c r="G468" s="3">
        <v>2</v>
      </c>
      <c r="H468" s="4" t="s">
        <v>879</v>
      </c>
      <c r="I468" s="4" t="s">
        <v>69</v>
      </c>
      <c r="J468" s="1" t="s">
        <v>880</v>
      </c>
      <c r="K468" s="9"/>
    </row>
    <row r="469" spans="1:11" x14ac:dyDescent="0.3">
      <c r="A469" s="9" t="str">
        <f>"26.10.2009"</f>
        <v>26.10.2009</v>
      </c>
      <c r="B469" s="12" t="s">
        <v>881</v>
      </c>
      <c r="C469" s="11"/>
      <c r="D469" s="11"/>
      <c r="E469" s="11"/>
      <c r="F469" s="11"/>
      <c r="G469" s="3">
        <v>1</v>
      </c>
      <c r="H469" s="4" t="s">
        <v>882</v>
      </c>
      <c r="I469" s="4" t="s">
        <v>883</v>
      </c>
      <c r="J469" s="1" t="s">
        <v>884</v>
      </c>
      <c r="K469" s="9"/>
    </row>
    <row r="470" spans="1:11" x14ac:dyDescent="0.3">
      <c r="A470" s="9" t="str">
        <f>"26.10.2009"</f>
        <v>26.10.2009</v>
      </c>
      <c r="B470" s="12"/>
      <c r="C470" s="11"/>
      <c r="D470" s="11"/>
      <c r="E470" s="11"/>
      <c r="F470" s="11"/>
      <c r="G470" s="3">
        <v>2</v>
      </c>
      <c r="H470" s="4" t="s">
        <v>374</v>
      </c>
      <c r="I470" s="4" t="s">
        <v>69</v>
      </c>
      <c r="J470" s="1" t="s">
        <v>885</v>
      </c>
      <c r="K470" s="9"/>
    </row>
    <row r="471" spans="1:11" x14ac:dyDescent="0.3">
      <c r="A471" s="9"/>
      <c r="B471" s="12"/>
      <c r="C471" s="11"/>
      <c r="D471" s="11"/>
      <c r="E471" s="11"/>
      <c r="F471" s="11"/>
      <c r="G471" s="3"/>
      <c r="H471" s="4"/>
      <c r="I471" s="4"/>
      <c r="J471" s="1"/>
      <c r="K471" s="15"/>
    </row>
    <row r="472" spans="1:11" x14ac:dyDescent="0.3">
      <c r="A472" s="9"/>
      <c r="B472" s="12"/>
      <c r="C472" s="11"/>
      <c r="D472" s="11"/>
      <c r="E472" s="11"/>
      <c r="F472" s="11"/>
      <c r="G472" s="3"/>
      <c r="H472" s="4"/>
      <c r="I472" s="4"/>
      <c r="J472" s="1"/>
      <c r="K472" s="15"/>
    </row>
    <row r="473" spans="1:11" x14ac:dyDescent="0.3">
      <c r="A473" s="9"/>
      <c r="B473" s="12"/>
      <c r="C473" s="11"/>
      <c r="D473" s="11"/>
      <c r="E473" s="11"/>
      <c r="F473" s="11"/>
      <c r="G473" s="3"/>
      <c r="H473" s="4"/>
      <c r="I473" s="4"/>
      <c r="J473" s="1"/>
      <c r="K473" s="15"/>
    </row>
    <row r="474" spans="1:11" x14ac:dyDescent="0.3">
      <c r="A474" s="9"/>
      <c r="B474" s="12"/>
      <c r="C474" s="11"/>
      <c r="D474" s="11"/>
      <c r="E474" s="11"/>
      <c r="F474" s="11"/>
      <c r="G474" s="3"/>
      <c r="H474" s="4"/>
      <c r="I474" s="4"/>
      <c r="J474" s="1"/>
      <c r="K474" s="15"/>
    </row>
    <row r="475" spans="1:11" x14ac:dyDescent="0.3">
      <c r="A475" s="9"/>
      <c r="B475" s="12"/>
      <c r="C475" s="11"/>
      <c r="D475" s="11"/>
      <c r="E475" s="11"/>
      <c r="F475" s="11"/>
      <c r="G475" s="3"/>
      <c r="H475" s="4"/>
      <c r="I475" s="4"/>
      <c r="J475" s="1"/>
      <c r="K475" s="15"/>
    </row>
    <row r="476" spans="1:11" x14ac:dyDescent="0.3">
      <c r="A476" s="9"/>
      <c r="B476" s="12"/>
      <c r="C476" s="11"/>
      <c r="D476" s="11"/>
      <c r="E476" s="11"/>
      <c r="F476" s="11"/>
      <c r="G476" s="3"/>
      <c r="H476" s="4"/>
      <c r="I476" s="4"/>
      <c r="J476" s="1"/>
      <c r="K476" s="15"/>
    </row>
    <row r="477" spans="1:11" x14ac:dyDescent="0.3">
      <c r="A477" s="9"/>
      <c r="B477" s="12"/>
      <c r="C477" s="11"/>
      <c r="D477" s="11"/>
      <c r="E477" s="11"/>
      <c r="F477" s="11"/>
      <c r="G477" s="3"/>
      <c r="H477" s="4"/>
      <c r="I477" s="4"/>
      <c r="J477" s="1"/>
      <c r="K477" s="15"/>
    </row>
    <row r="478" spans="1:11" x14ac:dyDescent="0.3">
      <c r="A478" s="9"/>
      <c r="B478" s="12"/>
      <c r="C478" s="11"/>
      <c r="D478" s="11"/>
      <c r="E478" s="11"/>
      <c r="F478" s="11"/>
      <c r="G478" s="3"/>
      <c r="H478" s="4"/>
      <c r="I478" s="4"/>
      <c r="J478" s="1"/>
      <c r="K478" s="15"/>
    </row>
    <row r="479" spans="1:11" x14ac:dyDescent="0.3">
      <c r="A479" s="9"/>
      <c r="B479" s="12"/>
      <c r="C479" s="11"/>
      <c r="D479" s="11"/>
      <c r="E479" s="11"/>
      <c r="F479" s="11"/>
      <c r="G479" s="3"/>
      <c r="H479" s="4"/>
      <c r="I479" s="4"/>
      <c r="J479" s="1"/>
      <c r="K479" s="15"/>
    </row>
    <row r="480" spans="1:11" x14ac:dyDescent="0.3">
      <c r="A480" s="9"/>
      <c r="B480" s="12"/>
      <c r="C480" s="11"/>
      <c r="D480" s="11"/>
      <c r="E480" s="11"/>
      <c r="F480" s="11"/>
      <c r="G480" s="3"/>
      <c r="H480" s="4"/>
      <c r="I480" s="4"/>
      <c r="J480" s="1"/>
      <c r="K480" s="15"/>
    </row>
    <row r="481" spans="1:11" x14ac:dyDescent="0.3">
      <c r="A481" s="9"/>
      <c r="B481" s="12"/>
      <c r="C481" s="11"/>
      <c r="D481" s="11"/>
      <c r="E481" s="11"/>
      <c r="F481" s="11"/>
      <c r="G481" s="3"/>
      <c r="H481" s="4"/>
      <c r="I481" s="4"/>
      <c r="J481" s="1"/>
      <c r="K481" s="15"/>
    </row>
    <row r="482" spans="1:11" x14ac:dyDescent="0.3">
      <c r="A482" s="9"/>
      <c r="B482" s="12"/>
      <c r="C482" s="11"/>
      <c r="D482" s="11"/>
      <c r="E482" s="11"/>
      <c r="F482" s="11"/>
      <c r="G482" s="3"/>
      <c r="H482" s="4"/>
      <c r="I482" s="4"/>
      <c r="J482" s="1"/>
      <c r="K482" s="15"/>
    </row>
    <row r="483" spans="1:11" x14ac:dyDescent="0.3">
      <c r="A483" s="9"/>
      <c r="B483" s="12"/>
      <c r="C483" s="11"/>
      <c r="D483" s="11"/>
      <c r="E483" s="11"/>
      <c r="F483" s="11"/>
      <c r="G483" s="3"/>
      <c r="H483" s="4"/>
      <c r="I483" s="4"/>
      <c r="J483" s="1"/>
      <c r="K483" s="15"/>
    </row>
    <row r="484" spans="1:11" x14ac:dyDescent="0.3">
      <c r="A484" s="9"/>
      <c r="B484" s="12"/>
      <c r="C484" s="11"/>
      <c r="D484" s="11"/>
      <c r="E484" s="11"/>
      <c r="F484" s="11"/>
      <c r="G484" s="3"/>
      <c r="H484" s="4"/>
      <c r="I484" s="4"/>
      <c r="J484" s="1"/>
      <c r="K484" s="15"/>
    </row>
    <row r="485" spans="1:11" x14ac:dyDescent="0.3">
      <c r="A485" s="9"/>
      <c r="B485" s="12"/>
      <c r="C485" s="11"/>
      <c r="D485" s="11"/>
      <c r="E485" s="11"/>
      <c r="F485" s="11"/>
      <c r="G485" s="3"/>
      <c r="H485" s="4"/>
      <c r="I485" s="4"/>
      <c r="J485" s="1"/>
      <c r="K485" s="15"/>
    </row>
    <row r="486" spans="1:11" x14ac:dyDescent="0.3">
      <c r="A486" s="9"/>
      <c r="B486" s="12"/>
      <c r="C486" s="11"/>
      <c r="D486" s="11"/>
      <c r="E486" s="11"/>
      <c r="F486" s="11"/>
      <c r="G486" s="3"/>
      <c r="H486" s="4"/>
      <c r="I486" s="4"/>
      <c r="J486" s="1"/>
      <c r="K486" s="15"/>
    </row>
    <row r="487" spans="1:11" x14ac:dyDescent="0.3">
      <c r="A487" s="9"/>
      <c r="B487" s="12"/>
      <c r="C487" s="11"/>
      <c r="D487" s="11"/>
      <c r="E487" s="11"/>
      <c r="F487" s="11"/>
      <c r="G487" s="3"/>
      <c r="H487" s="4"/>
      <c r="I487" s="4"/>
      <c r="J487" s="1"/>
      <c r="K487" s="15"/>
    </row>
    <row r="488" spans="1:11" x14ac:dyDescent="0.3">
      <c r="A488" s="9"/>
      <c r="B488" s="12"/>
      <c r="C488" s="11"/>
      <c r="D488" s="11"/>
      <c r="E488" s="11"/>
      <c r="F488" s="11"/>
      <c r="G488" s="3"/>
      <c r="H488" s="4"/>
      <c r="I488" s="4"/>
      <c r="J488" s="1"/>
      <c r="K488" s="15"/>
    </row>
    <row r="489" spans="1:11" x14ac:dyDescent="0.3">
      <c r="A489" s="9"/>
      <c r="B489" s="12"/>
      <c r="C489" s="11"/>
      <c r="D489" s="11"/>
      <c r="E489" s="11"/>
      <c r="F489" s="11"/>
      <c r="G489" s="3"/>
      <c r="H489" s="4"/>
      <c r="I489" s="4"/>
      <c r="J489" s="1"/>
      <c r="K489" s="15"/>
    </row>
    <row r="490" spans="1:11" x14ac:dyDescent="0.3">
      <c r="A490" s="9"/>
      <c r="B490" s="12"/>
      <c r="C490" s="11"/>
      <c r="D490" s="11"/>
      <c r="E490" s="11"/>
      <c r="F490" s="11"/>
      <c r="G490" s="3"/>
      <c r="H490" s="4"/>
      <c r="I490" s="4"/>
      <c r="J490" s="1"/>
      <c r="K490" s="15"/>
    </row>
    <row r="491" spans="1:11" x14ac:dyDescent="0.3">
      <c r="A491" s="9"/>
      <c r="B491" s="12"/>
      <c r="C491" s="11"/>
      <c r="D491" s="11"/>
      <c r="E491" s="11"/>
      <c r="F491" s="11"/>
      <c r="G491" s="3"/>
      <c r="H491" s="4"/>
      <c r="I491" s="4"/>
      <c r="J491" s="1"/>
      <c r="K491" s="15"/>
    </row>
    <row r="492" spans="1:11" x14ac:dyDescent="0.3">
      <c r="A492" s="9"/>
      <c r="B492" s="12"/>
      <c r="C492" s="11"/>
      <c r="D492" s="11"/>
      <c r="E492" s="11"/>
      <c r="F492" s="11"/>
      <c r="G492" s="3"/>
      <c r="H492" s="4"/>
      <c r="I492" s="4"/>
      <c r="J492" s="1"/>
      <c r="K492" s="15"/>
    </row>
    <row r="493" spans="1:11" x14ac:dyDescent="0.3">
      <c r="A493" s="9"/>
      <c r="B493" s="12"/>
      <c r="C493" s="11"/>
      <c r="D493" s="11"/>
      <c r="E493" s="11"/>
      <c r="F493" s="11"/>
      <c r="G493" s="3"/>
      <c r="H493" s="4"/>
      <c r="I493" s="4"/>
      <c r="J493" s="1"/>
      <c r="K493" s="15"/>
    </row>
    <row r="494" spans="1:11" x14ac:dyDescent="0.3">
      <c r="A494" s="9"/>
      <c r="B494" s="12"/>
      <c r="C494" s="11"/>
      <c r="D494" s="11"/>
      <c r="E494" s="11"/>
      <c r="F494" s="11"/>
      <c r="G494" s="3"/>
      <c r="H494" s="4"/>
      <c r="I494" s="4"/>
      <c r="J494" s="1"/>
      <c r="K494" s="15"/>
    </row>
    <row r="495" spans="1:11" x14ac:dyDescent="0.3">
      <c r="A495" s="9"/>
      <c r="B495" s="12"/>
      <c r="C495" s="11"/>
      <c r="D495" s="11"/>
      <c r="E495" s="11"/>
      <c r="F495" s="11"/>
      <c r="G495" s="3"/>
      <c r="H495" s="4"/>
      <c r="I495" s="4"/>
      <c r="J495" s="1"/>
      <c r="K495" s="15"/>
    </row>
    <row r="496" spans="1:11" x14ac:dyDescent="0.3">
      <c r="A496" s="9"/>
      <c r="B496" s="12"/>
      <c r="C496" s="11"/>
      <c r="D496" s="11"/>
      <c r="E496" s="11"/>
      <c r="F496" s="11"/>
      <c r="G496" s="3"/>
      <c r="H496" s="4"/>
      <c r="I496" s="4"/>
      <c r="J496" s="1"/>
      <c r="K496" s="15"/>
    </row>
    <row r="497" spans="1:11" x14ac:dyDescent="0.3">
      <c r="A497" s="9"/>
      <c r="B497" s="12"/>
      <c r="C497" s="11"/>
      <c r="D497" s="11"/>
      <c r="E497" s="11"/>
      <c r="F497" s="11"/>
      <c r="G497" s="3"/>
      <c r="H497" s="4"/>
      <c r="I497" s="4"/>
      <c r="J497" s="1"/>
      <c r="K497" s="15"/>
    </row>
    <row r="498" spans="1:11" x14ac:dyDescent="0.3">
      <c r="A498" s="9"/>
      <c r="B498" s="12"/>
      <c r="C498" s="11"/>
      <c r="D498" s="11"/>
      <c r="E498" s="11"/>
      <c r="F498" s="11"/>
      <c r="G498" s="3"/>
      <c r="H498" s="4"/>
      <c r="I498" s="4"/>
      <c r="J498" s="1"/>
      <c r="K498" s="15"/>
    </row>
    <row r="499" spans="1:11" x14ac:dyDescent="0.3">
      <c r="A499" s="9"/>
      <c r="B499" s="12"/>
      <c r="C499" s="11"/>
      <c r="D499" s="11"/>
      <c r="E499" s="11"/>
      <c r="F499" s="11"/>
      <c r="G499" s="3"/>
      <c r="H499" s="4"/>
      <c r="I499" s="4"/>
      <c r="J499" s="1"/>
      <c r="K499" s="15"/>
    </row>
    <row r="500" spans="1:11" x14ac:dyDescent="0.3">
      <c r="A500" s="9"/>
      <c r="B500" s="12"/>
      <c r="C500" s="11"/>
      <c r="D500" s="11"/>
      <c r="E500" s="11"/>
      <c r="F500" s="11"/>
      <c r="G500" s="3"/>
      <c r="H500" s="4"/>
      <c r="I500" s="4"/>
      <c r="J500" s="1"/>
      <c r="K500" s="15"/>
    </row>
    <row r="501" spans="1:11" x14ac:dyDescent="0.3">
      <c r="A501" s="9"/>
      <c r="B501" s="12"/>
      <c r="C501" s="11"/>
      <c r="D501" s="11"/>
      <c r="E501" s="11"/>
      <c r="F501" s="11"/>
      <c r="G501" s="3"/>
      <c r="H501" s="4"/>
      <c r="I501" s="4"/>
      <c r="J501" s="1"/>
      <c r="K501" s="15"/>
    </row>
    <row r="502" spans="1:11" x14ac:dyDescent="0.3">
      <c r="A502" s="9"/>
      <c r="B502" s="12"/>
      <c r="C502" s="11"/>
      <c r="D502" s="11"/>
      <c r="E502" s="11"/>
      <c r="F502" s="11"/>
      <c r="G502" s="3"/>
      <c r="H502" s="4"/>
      <c r="I502" s="4"/>
      <c r="J502" s="1"/>
      <c r="K502" s="15"/>
    </row>
    <row r="503" spans="1:11" x14ac:dyDescent="0.3">
      <c r="A503" s="9"/>
      <c r="B503" s="12"/>
      <c r="C503" s="11"/>
      <c r="D503" s="11"/>
      <c r="E503" s="11"/>
      <c r="F503" s="11"/>
      <c r="G503" s="3"/>
      <c r="H503" s="4"/>
      <c r="I503" s="4"/>
      <c r="J503" s="1"/>
      <c r="K503" s="15"/>
    </row>
    <row r="504" spans="1:11" x14ac:dyDescent="0.3">
      <c r="A504" s="9"/>
      <c r="B504" s="12"/>
      <c r="C504" s="11"/>
      <c r="D504" s="11"/>
      <c r="E504" s="11"/>
      <c r="F504" s="11"/>
      <c r="G504" s="3"/>
      <c r="H504" s="4"/>
      <c r="I504" s="4"/>
      <c r="J504" s="1"/>
      <c r="K504" s="15"/>
    </row>
    <row r="505" spans="1:11" x14ac:dyDescent="0.3">
      <c r="A505" s="9"/>
      <c r="B505" s="12"/>
      <c r="C505" s="11"/>
      <c r="D505" s="11"/>
      <c r="E505" s="11"/>
      <c r="F505" s="11"/>
      <c r="G505" s="3"/>
      <c r="H505" s="4"/>
      <c r="I505" s="4"/>
      <c r="J505" s="1"/>
      <c r="K505" s="15"/>
    </row>
    <row r="506" spans="1:11" x14ac:dyDescent="0.3">
      <c r="A506" s="9"/>
      <c r="B506" s="12"/>
      <c r="C506" s="11"/>
      <c r="D506" s="11"/>
      <c r="E506" s="11"/>
      <c r="F506" s="11"/>
      <c r="G506" s="3"/>
      <c r="H506" s="4"/>
      <c r="I506" s="4"/>
      <c r="J506" s="1"/>
      <c r="K506" s="15"/>
    </row>
    <row r="507" spans="1:11" x14ac:dyDescent="0.3">
      <c r="A507" s="9"/>
      <c r="B507" s="12"/>
      <c r="C507" s="11"/>
      <c r="D507" s="11"/>
      <c r="E507" s="11"/>
      <c r="F507" s="11"/>
      <c r="G507" s="3"/>
      <c r="H507" s="4"/>
      <c r="I507" s="4"/>
      <c r="J507" s="1"/>
      <c r="K507" s="15"/>
    </row>
    <row r="508" spans="1:11" x14ac:dyDescent="0.3">
      <c r="A508" s="9"/>
      <c r="B508" s="12"/>
      <c r="C508" s="11"/>
      <c r="D508" s="11"/>
      <c r="E508" s="11"/>
      <c r="F508" s="11"/>
      <c r="G508" s="3"/>
      <c r="H508" s="4"/>
      <c r="I508" s="4"/>
      <c r="J508" s="1"/>
      <c r="K508" s="15"/>
    </row>
    <row r="509" spans="1:11" x14ac:dyDescent="0.3">
      <c r="A509" s="9"/>
      <c r="B509" s="12"/>
      <c r="C509" s="11"/>
      <c r="D509" s="11"/>
      <c r="E509" s="11"/>
      <c r="F509" s="11"/>
      <c r="G509" s="3"/>
      <c r="H509" s="4"/>
      <c r="I509" s="4"/>
      <c r="J509" s="1"/>
      <c r="K509" s="15"/>
    </row>
    <row r="510" spans="1:11" x14ac:dyDescent="0.3">
      <c r="A510" s="9"/>
      <c r="B510" s="12"/>
      <c r="C510" s="11"/>
      <c r="D510" s="11"/>
      <c r="E510" s="11"/>
      <c r="F510" s="11"/>
      <c r="G510" s="3"/>
      <c r="H510" s="4"/>
      <c r="I510" s="4"/>
      <c r="J510" s="1"/>
      <c r="K510" s="15"/>
    </row>
    <row r="511" spans="1:11" x14ac:dyDescent="0.3">
      <c r="A511" s="9"/>
      <c r="B511" s="12"/>
      <c r="C511" s="11"/>
      <c r="D511" s="11"/>
      <c r="E511" s="11"/>
      <c r="F511" s="11"/>
      <c r="G511" s="3"/>
      <c r="H511" s="4"/>
      <c r="I511" s="4"/>
      <c r="J511" s="1"/>
      <c r="K511" s="15"/>
    </row>
    <row r="512" spans="1:11" x14ac:dyDescent="0.3">
      <c r="A512" s="9"/>
      <c r="B512" s="12"/>
      <c r="C512" s="11"/>
      <c r="D512" s="11"/>
      <c r="E512" s="11"/>
      <c r="F512" s="11"/>
      <c r="G512" s="3"/>
      <c r="H512" s="4"/>
      <c r="I512" s="4"/>
      <c r="J512" s="1"/>
      <c r="K512" s="15"/>
    </row>
    <row r="513" spans="1:11" x14ac:dyDescent="0.3">
      <c r="A513" s="9"/>
      <c r="B513" s="12"/>
      <c r="C513" s="11"/>
      <c r="D513" s="11"/>
      <c r="E513" s="11"/>
      <c r="F513" s="11"/>
      <c r="G513" s="3"/>
      <c r="H513" s="4"/>
      <c r="I513" s="4"/>
      <c r="J513" s="1"/>
      <c r="K513" s="15"/>
    </row>
    <row r="514" spans="1:11" x14ac:dyDescent="0.3">
      <c r="A514" s="9"/>
      <c r="B514" s="12"/>
      <c r="C514" s="11"/>
      <c r="D514" s="11"/>
      <c r="E514" s="11"/>
      <c r="F514" s="11"/>
      <c r="G514" s="3"/>
      <c r="H514" s="4"/>
      <c r="I514" s="4"/>
      <c r="J514" s="1"/>
      <c r="K514" s="15"/>
    </row>
    <row r="515" spans="1:11" x14ac:dyDescent="0.3">
      <c r="A515" s="9"/>
      <c r="B515" s="12"/>
      <c r="C515" s="11"/>
      <c r="D515" s="11"/>
      <c r="E515" s="11"/>
      <c r="F515" s="11"/>
      <c r="G515" s="3"/>
      <c r="H515" s="4"/>
      <c r="I515" s="4"/>
      <c r="J515" s="1"/>
      <c r="K515" s="15"/>
    </row>
    <row r="516" spans="1:11" x14ac:dyDescent="0.3">
      <c r="A516" s="9"/>
      <c r="B516" s="12"/>
      <c r="C516" s="11"/>
      <c r="D516" s="11"/>
      <c r="E516" s="11"/>
      <c r="F516" s="11"/>
      <c r="G516" s="3"/>
      <c r="H516" s="4"/>
      <c r="I516" s="4"/>
      <c r="J516" s="1"/>
      <c r="K516" s="15"/>
    </row>
    <row r="517" spans="1:11" x14ac:dyDescent="0.3">
      <c r="A517" s="9"/>
      <c r="B517" s="12"/>
      <c r="C517" s="11"/>
      <c r="D517" s="11"/>
      <c r="E517" s="11"/>
      <c r="F517" s="11"/>
      <c r="G517" s="3"/>
      <c r="H517" s="4"/>
      <c r="I517" s="4"/>
      <c r="J517" s="1"/>
      <c r="K517" s="15"/>
    </row>
    <row r="518" spans="1:11" x14ac:dyDescent="0.3">
      <c r="A518" s="9"/>
      <c r="B518" s="12"/>
      <c r="C518" s="11"/>
      <c r="D518" s="11"/>
      <c r="E518" s="11"/>
      <c r="F518" s="11"/>
      <c r="G518" s="3"/>
      <c r="H518" s="4"/>
      <c r="I518" s="4"/>
      <c r="J518" s="1"/>
      <c r="K518" s="15"/>
    </row>
    <row r="519" spans="1:11" x14ac:dyDescent="0.3">
      <c r="A519" s="9"/>
      <c r="B519" s="12"/>
      <c r="C519" s="11"/>
      <c r="D519" s="11"/>
      <c r="E519" s="11"/>
      <c r="F519" s="11"/>
      <c r="G519" s="3"/>
      <c r="H519" s="4"/>
      <c r="I519" s="4"/>
      <c r="J519" s="1"/>
      <c r="K519" s="15"/>
    </row>
    <row r="520" spans="1:11" x14ac:dyDescent="0.3">
      <c r="A520" s="9"/>
      <c r="B520" s="12"/>
      <c r="C520" s="11"/>
      <c r="D520" s="11"/>
      <c r="E520" s="11"/>
      <c r="F520" s="11"/>
      <c r="G520" s="3"/>
      <c r="H520" s="4"/>
      <c r="I520" s="4"/>
      <c r="J520" s="1"/>
      <c r="K520" s="15"/>
    </row>
    <row r="521" spans="1:11" x14ac:dyDescent="0.3">
      <c r="A521" s="9"/>
      <c r="B521" s="12"/>
      <c r="C521" s="11"/>
      <c r="D521" s="11"/>
      <c r="E521" s="11"/>
      <c r="F521" s="11"/>
      <c r="G521" s="3"/>
      <c r="H521" s="4"/>
      <c r="I521" s="4"/>
      <c r="J521" s="1"/>
      <c r="K521" s="15"/>
    </row>
    <row r="522" spans="1:11" x14ac:dyDescent="0.3">
      <c r="A522" s="9"/>
      <c r="B522" s="12"/>
      <c r="C522" s="11"/>
      <c r="D522" s="11"/>
      <c r="E522" s="11"/>
      <c r="F522" s="11"/>
      <c r="G522" s="3"/>
      <c r="H522" s="4"/>
      <c r="I522" s="4"/>
      <c r="J522" s="1"/>
      <c r="K522" s="15"/>
    </row>
    <row r="523" spans="1:11" x14ac:dyDescent="0.3">
      <c r="A523" s="9"/>
      <c r="B523" s="12"/>
      <c r="C523" s="11"/>
      <c r="D523" s="11"/>
      <c r="E523" s="11"/>
      <c r="F523" s="11"/>
      <c r="G523" s="3"/>
      <c r="H523" s="4"/>
      <c r="I523" s="4"/>
      <c r="J523" s="1"/>
      <c r="K523" s="15"/>
    </row>
    <row r="524" spans="1:11" x14ac:dyDescent="0.3">
      <c r="A524" s="9"/>
      <c r="B524" s="12"/>
      <c r="C524" s="11"/>
      <c r="D524" s="11"/>
      <c r="E524" s="11"/>
      <c r="F524" s="11"/>
      <c r="G524" s="3"/>
      <c r="H524" s="4"/>
      <c r="I524" s="4"/>
      <c r="J524" s="1"/>
      <c r="K524" s="15"/>
    </row>
    <row r="525" spans="1:11" x14ac:dyDescent="0.3">
      <c r="A525" s="9"/>
      <c r="B525" s="12"/>
      <c r="C525" s="11"/>
      <c r="D525" s="11"/>
      <c r="E525" s="11"/>
      <c r="F525" s="11"/>
      <c r="G525" s="3"/>
      <c r="H525" s="4"/>
      <c r="I525" s="4"/>
      <c r="J525" s="1"/>
      <c r="K525" s="15"/>
    </row>
    <row r="526" spans="1:11" x14ac:dyDescent="0.3">
      <c r="A526" s="9"/>
      <c r="B526" s="12"/>
      <c r="C526" s="11"/>
      <c r="D526" s="11"/>
      <c r="E526" s="11"/>
      <c r="F526" s="11"/>
      <c r="G526" s="3"/>
      <c r="H526" s="4"/>
      <c r="I526" s="4"/>
      <c r="J526" s="1"/>
      <c r="K526" s="15"/>
    </row>
    <row r="527" spans="1:11" x14ac:dyDescent="0.3">
      <c r="A527" s="9"/>
      <c r="B527" s="12"/>
      <c r="C527" s="11"/>
      <c r="D527" s="11"/>
      <c r="E527" s="11"/>
      <c r="F527" s="11"/>
      <c r="G527" s="3"/>
      <c r="H527" s="4"/>
      <c r="I527" s="4"/>
      <c r="J527" s="1"/>
      <c r="K527" s="15"/>
    </row>
    <row r="528" spans="1:11" x14ac:dyDescent="0.3">
      <c r="A528" s="9"/>
      <c r="B528" s="12"/>
      <c r="C528" s="11"/>
      <c r="D528" s="11"/>
      <c r="E528" s="11"/>
      <c r="F528" s="11"/>
      <c r="G528" s="3"/>
      <c r="H528" s="4"/>
      <c r="I528" s="4"/>
      <c r="J528" s="1"/>
      <c r="K528" s="15"/>
    </row>
    <row r="529" spans="1:11" x14ac:dyDescent="0.3">
      <c r="A529" s="9"/>
      <c r="B529" s="12"/>
      <c r="C529" s="11"/>
      <c r="D529" s="11"/>
      <c r="E529" s="11"/>
      <c r="F529" s="11"/>
      <c r="G529" s="3"/>
      <c r="H529" s="4"/>
      <c r="I529" s="4"/>
      <c r="J529" s="1"/>
      <c r="K529" s="15"/>
    </row>
    <row r="530" spans="1:11" x14ac:dyDescent="0.3">
      <c r="A530" s="9"/>
      <c r="B530" s="12"/>
      <c r="C530" s="11"/>
      <c r="D530" s="11"/>
      <c r="E530" s="11"/>
      <c r="F530" s="11"/>
      <c r="G530" s="3"/>
      <c r="H530" s="4"/>
      <c r="I530" s="4"/>
      <c r="J530" s="1"/>
      <c r="K530" s="15"/>
    </row>
    <row r="531" spans="1:11" x14ac:dyDescent="0.3">
      <c r="A531" s="9"/>
      <c r="B531" s="12"/>
      <c r="C531" s="11"/>
      <c r="D531" s="11"/>
      <c r="E531" s="11"/>
      <c r="F531" s="11"/>
      <c r="G531" s="3"/>
      <c r="H531" s="4"/>
      <c r="I531" s="4"/>
      <c r="J531" s="1"/>
      <c r="K531" s="15"/>
    </row>
    <row r="532" spans="1:11" x14ac:dyDescent="0.3">
      <c r="A532" s="9"/>
      <c r="B532" s="12"/>
      <c r="C532" s="11"/>
      <c r="D532" s="11"/>
      <c r="E532" s="11"/>
      <c r="F532" s="11"/>
      <c r="G532" s="3"/>
      <c r="H532" s="4"/>
      <c r="I532" s="4"/>
      <c r="J532" s="1"/>
      <c r="K532" s="15"/>
    </row>
    <row r="533" spans="1:11" x14ac:dyDescent="0.3">
      <c r="A533" s="9"/>
      <c r="B533" s="12"/>
      <c r="C533" s="11"/>
      <c r="D533" s="11"/>
      <c r="E533" s="11"/>
      <c r="F533" s="11"/>
      <c r="G533" s="3"/>
      <c r="H533" s="4"/>
      <c r="I533" s="4"/>
      <c r="J533" s="1"/>
      <c r="K533" s="15"/>
    </row>
    <row r="534" spans="1:11" x14ac:dyDescent="0.3">
      <c r="A534" s="9"/>
      <c r="B534" s="12"/>
      <c r="C534" s="11"/>
      <c r="D534" s="11"/>
      <c r="E534" s="11"/>
      <c r="F534" s="11"/>
      <c r="G534" s="3"/>
      <c r="H534" s="4"/>
      <c r="I534" s="4"/>
      <c r="J534" s="1"/>
      <c r="K534" s="15"/>
    </row>
    <row r="535" spans="1:11" x14ac:dyDescent="0.3">
      <c r="A535" s="9"/>
      <c r="B535" s="12"/>
      <c r="C535" s="11"/>
      <c r="D535" s="11"/>
      <c r="E535" s="11"/>
      <c r="F535" s="11"/>
      <c r="G535" s="3"/>
      <c r="H535" s="4"/>
      <c r="I535" s="4"/>
      <c r="J535" s="1"/>
      <c r="K535" s="15"/>
    </row>
    <row r="536" spans="1:11" x14ac:dyDescent="0.3">
      <c r="A536" s="9"/>
      <c r="B536" s="12"/>
      <c r="C536" s="11"/>
      <c r="D536" s="11"/>
      <c r="E536" s="11"/>
      <c r="F536" s="11"/>
      <c r="G536" s="3"/>
      <c r="H536" s="4"/>
      <c r="I536" s="4"/>
      <c r="J536" s="1"/>
      <c r="K536" s="15"/>
    </row>
    <row r="537" spans="1:11" x14ac:dyDescent="0.3">
      <c r="A537" s="9"/>
      <c r="B537" s="12"/>
      <c r="C537" s="11"/>
      <c r="D537" s="11"/>
      <c r="E537" s="11"/>
      <c r="F537" s="11"/>
      <c r="G537" s="3"/>
      <c r="H537" s="4"/>
      <c r="I537" s="4"/>
      <c r="J537" s="1"/>
      <c r="K537" s="15"/>
    </row>
    <row r="538" spans="1:11" x14ac:dyDescent="0.3">
      <c r="A538" s="9"/>
      <c r="B538" s="12"/>
      <c r="C538" s="11"/>
      <c r="D538" s="11"/>
      <c r="E538" s="11"/>
      <c r="F538" s="11"/>
      <c r="G538" s="3"/>
      <c r="H538" s="4"/>
      <c r="I538" s="4"/>
      <c r="J538" s="1"/>
      <c r="K538" s="15"/>
    </row>
    <row r="539" spans="1:11" x14ac:dyDescent="0.3">
      <c r="A539" s="9"/>
      <c r="B539" s="12"/>
      <c r="C539" s="11"/>
      <c r="D539" s="11"/>
      <c r="E539" s="11"/>
      <c r="F539" s="11"/>
      <c r="G539" s="3"/>
      <c r="H539" s="4"/>
      <c r="I539" s="4"/>
      <c r="J539" s="1"/>
      <c r="K539" s="15"/>
    </row>
    <row r="540" spans="1:11" x14ac:dyDescent="0.3">
      <c r="A540" s="9"/>
      <c r="B540" s="12"/>
      <c r="C540" s="11"/>
      <c r="D540" s="11"/>
      <c r="E540" s="11"/>
      <c r="F540" s="11"/>
      <c r="G540" s="3"/>
      <c r="H540" s="4"/>
      <c r="I540" s="4"/>
      <c r="J540" s="1"/>
      <c r="K540" s="15"/>
    </row>
    <row r="541" spans="1:11" x14ac:dyDescent="0.3">
      <c r="A541" s="9"/>
      <c r="B541" s="12"/>
      <c r="C541" s="11"/>
      <c r="D541" s="11"/>
      <c r="E541" s="11"/>
      <c r="F541" s="11"/>
      <c r="G541" s="3"/>
      <c r="H541" s="4"/>
      <c r="I541" s="4"/>
      <c r="J541" s="1"/>
      <c r="K541" s="15"/>
    </row>
    <row r="542" spans="1:11" x14ac:dyDescent="0.3">
      <c r="A542" s="9"/>
      <c r="B542" s="12"/>
      <c r="C542" s="11"/>
      <c r="D542" s="11"/>
      <c r="E542" s="11"/>
      <c r="F542" s="11"/>
      <c r="G542" s="3"/>
      <c r="H542" s="4"/>
      <c r="I542" s="4"/>
      <c r="J542" s="1"/>
      <c r="K542" s="15"/>
    </row>
    <row r="543" spans="1:11" x14ac:dyDescent="0.3">
      <c r="A543" s="9"/>
      <c r="B543" s="12"/>
      <c r="C543" s="11"/>
      <c r="D543" s="11"/>
      <c r="E543" s="11"/>
      <c r="F543" s="11"/>
      <c r="G543" s="3"/>
      <c r="H543" s="4"/>
      <c r="I543" s="4"/>
      <c r="J543" s="1"/>
      <c r="K543" s="15"/>
    </row>
    <row r="544" spans="1:11" x14ac:dyDescent="0.3">
      <c r="A544" s="9"/>
      <c r="B544" s="12"/>
      <c r="C544" s="11"/>
      <c r="D544" s="11"/>
      <c r="E544" s="11"/>
      <c r="F544" s="11"/>
      <c r="G544" s="3"/>
      <c r="H544" s="4"/>
      <c r="I544" s="4"/>
      <c r="J544" s="1"/>
      <c r="K544" s="15"/>
    </row>
    <row r="545" spans="1:11" x14ac:dyDescent="0.3">
      <c r="A545" s="9"/>
      <c r="B545" s="12"/>
      <c r="C545" s="11"/>
      <c r="D545" s="11"/>
      <c r="E545" s="11"/>
      <c r="F545" s="11"/>
      <c r="G545" s="3"/>
      <c r="H545" s="4"/>
      <c r="I545" s="4"/>
      <c r="J545" s="1"/>
      <c r="K545" s="15"/>
    </row>
    <row r="546" spans="1:11" x14ac:dyDescent="0.3">
      <c r="A546" s="9"/>
      <c r="B546" s="12"/>
      <c r="C546" s="11"/>
      <c r="D546" s="11"/>
      <c r="E546" s="11"/>
      <c r="F546" s="11"/>
      <c r="G546" s="3"/>
      <c r="H546" s="4"/>
      <c r="I546" s="4"/>
      <c r="J546" s="1"/>
      <c r="K546" s="15"/>
    </row>
    <row r="547" spans="1:11" x14ac:dyDescent="0.3">
      <c r="A547" s="9"/>
      <c r="B547" s="12"/>
      <c r="C547" s="11"/>
      <c r="D547" s="11"/>
      <c r="E547" s="11"/>
      <c r="F547" s="11"/>
      <c r="G547" s="3"/>
      <c r="H547" s="4"/>
      <c r="I547" s="4"/>
      <c r="J547" s="1"/>
      <c r="K547" s="15"/>
    </row>
    <row r="548" spans="1:11" x14ac:dyDescent="0.3">
      <c r="A548" s="9"/>
      <c r="B548" s="12"/>
      <c r="C548" s="11"/>
      <c r="D548" s="11"/>
      <c r="E548" s="11"/>
      <c r="F548" s="11"/>
      <c r="G548" s="3"/>
      <c r="H548" s="4"/>
      <c r="I548" s="4"/>
      <c r="J548" s="1"/>
      <c r="K548" s="15"/>
    </row>
    <row r="549" spans="1:11" x14ac:dyDescent="0.3">
      <c r="A549" s="9"/>
      <c r="B549" s="12"/>
      <c r="C549" s="11"/>
      <c r="D549" s="11"/>
      <c r="E549" s="11"/>
      <c r="F549" s="11"/>
      <c r="G549" s="3"/>
      <c r="H549" s="4"/>
      <c r="I549" s="4"/>
      <c r="J549" s="1"/>
      <c r="K549" s="15"/>
    </row>
    <row r="550" spans="1:11" x14ac:dyDescent="0.3">
      <c r="A550" s="9"/>
      <c r="B550" s="12"/>
      <c r="C550" s="11"/>
      <c r="D550" s="11"/>
      <c r="E550" s="11"/>
      <c r="F550" s="11"/>
      <c r="G550" s="3"/>
      <c r="H550" s="4"/>
      <c r="I550" s="4"/>
      <c r="J550" s="1"/>
      <c r="K550" s="15"/>
    </row>
    <row r="551" spans="1:11" x14ac:dyDescent="0.3">
      <c r="A551" s="9"/>
      <c r="B551" s="12"/>
      <c r="C551" s="11"/>
      <c r="D551" s="11"/>
      <c r="E551" s="11"/>
      <c r="F551" s="11"/>
      <c r="G551" s="3"/>
      <c r="H551" s="4"/>
      <c r="I551" s="4"/>
      <c r="J551" s="1"/>
      <c r="K551" s="15"/>
    </row>
    <row r="552" spans="1:11" x14ac:dyDescent="0.3">
      <c r="A552" s="9"/>
      <c r="B552" s="12"/>
      <c r="C552" s="11"/>
      <c r="D552" s="11"/>
      <c r="E552" s="11"/>
      <c r="F552" s="11"/>
      <c r="G552" s="3"/>
      <c r="H552" s="4"/>
      <c r="I552" s="4"/>
      <c r="J552" s="1"/>
      <c r="K552" s="15"/>
    </row>
    <row r="553" spans="1:11" x14ac:dyDescent="0.3">
      <c r="A553" s="9"/>
      <c r="B553" s="12"/>
      <c r="C553" s="11"/>
      <c r="D553" s="11"/>
      <c r="E553" s="11"/>
      <c r="F553" s="11"/>
      <c r="G553" s="3"/>
      <c r="H553" s="4"/>
      <c r="I553" s="4"/>
      <c r="J553" s="1"/>
      <c r="K553" s="15"/>
    </row>
    <row r="554" spans="1:11" x14ac:dyDescent="0.3">
      <c r="A554" s="9"/>
      <c r="B554" s="12"/>
      <c r="C554" s="11"/>
      <c r="D554" s="11"/>
      <c r="E554" s="11"/>
      <c r="F554" s="11"/>
      <c r="G554" s="3"/>
      <c r="H554" s="4"/>
      <c r="I554" s="4"/>
      <c r="J554" s="1"/>
      <c r="K554" s="15"/>
    </row>
    <row r="555" spans="1:11" x14ac:dyDescent="0.3">
      <c r="A555" s="9"/>
      <c r="B555" s="12"/>
      <c r="C555" s="11"/>
      <c r="D555" s="11"/>
      <c r="E555" s="11"/>
      <c r="F555" s="11"/>
      <c r="G555" s="3"/>
      <c r="H555" s="4"/>
      <c r="I555" s="4"/>
      <c r="J555" s="1"/>
      <c r="K555" s="15"/>
    </row>
    <row r="556" spans="1:11" x14ac:dyDescent="0.3">
      <c r="A556" s="9"/>
      <c r="B556" s="12"/>
      <c r="C556" s="11"/>
      <c r="D556" s="11"/>
      <c r="E556" s="11"/>
      <c r="F556" s="11"/>
      <c r="G556" s="3"/>
      <c r="H556" s="4"/>
      <c r="I556" s="4"/>
      <c r="J556" s="1"/>
      <c r="K556" s="15"/>
    </row>
    <row r="557" spans="1:11" x14ac:dyDescent="0.3">
      <c r="A557" s="9"/>
      <c r="B557" s="12"/>
      <c r="C557" s="11"/>
      <c r="D557" s="11"/>
      <c r="E557" s="11"/>
      <c r="F557" s="11"/>
      <c r="G557" s="3"/>
      <c r="H557" s="4"/>
      <c r="I557" s="4"/>
      <c r="J557" s="1"/>
      <c r="K557" s="15"/>
    </row>
    <row r="558" spans="1:11" x14ac:dyDescent="0.3">
      <c r="A558" s="9"/>
      <c r="B558" s="12"/>
      <c r="C558" s="11"/>
      <c r="D558" s="11"/>
      <c r="E558" s="11"/>
      <c r="F558" s="11"/>
      <c r="G558" s="3"/>
      <c r="H558" s="4"/>
      <c r="I558" s="4"/>
      <c r="J558" s="1"/>
      <c r="K558" s="15"/>
    </row>
    <row r="559" spans="1:11" x14ac:dyDescent="0.3">
      <c r="A559" s="9"/>
      <c r="B559" s="12"/>
      <c r="C559" s="11"/>
      <c r="D559" s="11"/>
      <c r="E559" s="11"/>
      <c r="F559" s="11"/>
      <c r="G559" s="3"/>
      <c r="H559" s="4"/>
      <c r="I559" s="4"/>
      <c r="J559" s="1"/>
      <c r="K559" s="15"/>
    </row>
    <row r="560" spans="1:11" x14ac:dyDescent="0.3">
      <c r="A560" s="9"/>
      <c r="B560" s="12"/>
      <c r="C560" s="11"/>
      <c r="D560" s="11"/>
      <c r="E560" s="11"/>
      <c r="F560" s="11"/>
      <c r="G560" s="3"/>
      <c r="H560" s="4"/>
      <c r="I560" s="4"/>
      <c r="J560" s="1"/>
      <c r="K560" s="15"/>
    </row>
    <row r="561" spans="1:11" x14ac:dyDescent="0.3">
      <c r="A561" s="9"/>
      <c r="B561" s="12"/>
      <c r="C561" s="11"/>
      <c r="D561" s="11"/>
      <c r="E561" s="11"/>
      <c r="F561" s="11"/>
      <c r="G561" s="3"/>
      <c r="H561" s="4"/>
      <c r="I561" s="4"/>
      <c r="J561" s="1"/>
      <c r="K561" s="15"/>
    </row>
    <row r="562" spans="1:11" x14ac:dyDescent="0.3">
      <c r="A562" s="9"/>
      <c r="B562" s="12"/>
      <c r="C562" s="11"/>
      <c r="D562" s="11"/>
      <c r="E562" s="11"/>
      <c r="F562" s="11"/>
      <c r="G562" s="3"/>
      <c r="H562" s="4"/>
      <c r="I562" s="4"/>
      <c r="J562" s="1"/>
      <c r="K562" s="15"/>
    </row>
    <row r="563" spans="1:11" x14ac:dyDescent="0.3">
      <c r="A563" s="9"/>
      <c r="B563" s="12"/>
      <c r="C563" s="11"/>
      <c r="D563" s="11"/>
      <c r="E563" s="11"/>
      <c r="F563" s="11"/>
      <c r="G563" s="3"/>
      <c r="H563" s="4"/>
      <c r="I563" s="4"/>
      <c r="J563" s="1"/>
      <c r="K563" s="15"/>
    </row>
    <row r="564" spans="1:11" x14ac:dyDescent="0.3">
      <c r="A564" s="9"/>
      <c r="B564" s="12"/>
      <c r="C564" s="11"/>
      <c r="D564" s="11"/>
      <c r="E564" s="11"/>
      <c r="F564" s="11"/>
      <c r="G564" s="3"/>
      <c r="H564" s="4"/>
      <c r="I564" s="4"/>
      <c r="J564" s="1"/>
      <c r="K564" s="15"/>
    </row>
    <row r="565" spans="1:11" x14ac:dyDescent="0.3">
      <c r="A565" s="9"/>
      <c r="B565" s="12"/>
      <c r="C565" s="11"/>
      <c r="D565" s="11"/>
      <c r="E565" s="11"/>
      <c r="F565" s="11"/>
      <c r="G565" s="3"/>
      <c r="H565" s="4"/>
      <c r="I565" s="4"/>
      <c r="J565" s="1"/>
      <c r="K565" s="15"/>
    </row>
    <row r="566" spans="1:11" x14ac:dyDescent="0.3">
      <c r="A566" s="9"/>
      <c r="B566" s="12"/>
      <c r="C566" s="11"/>
      <c r="D566" s="11"/>
      <c r="E566" s="11"/>
      <c r="F566" s="11"/>
      <c r="G566" s="3"/>
      <c r="H566" s="4"/>
      <c r="I566" s="4"/>
      <c r="J566" s="1"/>
      <c r="K566" s="15"/>
    </row>
    <row r="567" spans="1:11" x14ac:dyDescent="0.3">
      <c r="A567" s="9"/>
      <c r="B567" s="12"/>
      <c r="C567" s="11"/>
      <c r="D567" s="11"/>
      <c r="E567" s="11"/>
      <c r="F567" s="11"/>
      <c r="G567" s="3"/>
      <c r="H567" s="4"/>
      <c r="I567" s="4"/>
      <c r="J567" s="1"/>
      <c r="K567" s="15"/>
    </row>
    <row r="568" spans="1:11" x14ac:dyDescent="0.3">
      <c r="A568" s="9"/>
      <c r="B568" s="12"/>
      <c r="C568" s="11"/>
      <c r="D568" s="11"/>
      <c r="E568" s="11"/>
      <c r="F568" s="11"/>
      <c r="G568" s="3"/>
      <c r="H568" s="4"/>
      <c r="I568" s="4"/>
      <c r="J568" s="1"/>
      <c r="K568" s="15"/>
    </row>
    <row r="569" spans="1:11" x14ac:dyDescent="0.3">
      <c r="A569" s="9"/>
      <c r="B569" s="12"/>
      <c r="C569" s="11"/>
      <c r="D569" s="11"/>
      <c r="E569" s="11"/>
      <c r="F569" s="11"/>
      <c r="G569" s="3"/>
      <c r="H569" s="4"/>
      <c r="I569" s="4"/>
      <c r="J569" s="1"/>
      <c r="K569" s="15"/>
    </row>
    <row r="570" spans="1:11" x14ac:dyDescent="0.3">
      <c r="A570" s="9"/>
      <c r="B570" s="12"/>
      <c r="C570" s="11"/>
      <c r="D570" s="11"/>
      <c r="E570" s="11"/>
      <c r="F570" s="11"/>
      <c r="G570" s="3"/>
      <c r="H570" s="4"/>
      <c r="I570" s="4"/>
      <c r="J570" s="1"/>
      <c r="K570" s="15"/>
    </row>
    <row r="571" spans="1:11" x14ac:dyDescent="0.3">
      <c r="A571" s="9"/>
      <c r="B571" s="12"/>
      <c r="C571" s="11"/>
      <c r="D571" s="11"/>
      <c r="E571" s="11"/>
      <c r="F571" s="11"/>
      <c r="G571" s="3"/>
      <c r="H571" s="4"/>
      <c r="I571" s="4"/>
      <c r="J571" s="1"/>
      <c r="K571" s="15"/>
    </row>
    <row r="572" spans="1:11" x14ac:dyDescent="0.3">
      <c r="A572" s="10"/>
      <c r="B572" s="6"/>
      <c r="C572" s="4"/>
      <c r="D572" s="4"/>
      <c r="E572" s="4"/>
      <c r="F572" s="4"/>
      <c r="G572" s="2"/>
      <c r="H572" s="4"/>
      <c r="I572" s="4"/>
      <c r="J572" s="13"/>
      <c r="K572" s="2"/>
    </row>
    <row r="573" spans="1:11" x14ac:dyDescent="0.3">
      <c r="A573" s="10"/>
      <c r="B573" s="6"/>
      <c r="C573" s="4"/>
      <c r="D573" s="4"/>
      <c r="E573" s="4"/>
      <c r="F573" s="4"/>
      <c r="G573" s="2"/>
      <c r="H573" s="4"/>
      <c r="I573" s="4"/>
      <c r="J573" s="13"/>
      <c r="K573" s="2"/>
    </row>
    <row r="574" spans="1:11" x14ac:dyDescent="0.3">
      <c r="A574" s="10"/>
      <c r="B574" s="6"/>
      <c r="C574" s="4"/>
      <c r="D574" s="4"/>
      <c r="E574" s="4"/>
      <c r="F574" s="4"/>
      <c r="G574" s="2"/>
      <c r="H574" s="4"/>
      <c r="I574" s="4"/>
      <c r="J574" s="13"/>
      <c r="K574" s="2"/>
    </row>
    <row r="575" spans="1:11" x14ac:dyDescent="0.3">
      <c r="A575" s="10"/>
      <c r="B575" s="6"/>
      <c r="C575" s="4"/>
      <c r="D575" s="4"/>
      <c r="E575" s="4"/>
      <c r="F575" s="4"/>
      <c r="G575" s="2"/>
      <c r="H575" s="4"/>
      <c r="I575" s="4"/>
      <c r="J575" s="13"/>
      <c r="K575" s="2"/>
    </row>
    <row r="576" spans="1:11" x14ac:dyDescent="0.3">
      <c r="A576" s="10"/>
      <c r="B576" s="6"/>
      <c r="C576" s="4"/>
      <c r="D576" s="4"/>
      <c r="E576" s="4"/>
      <c r="F576" s="4"/>
      <c r="G576" s="2"/>
      <c r="H576" s="4"/>
      <c r="I576" s="4"/>
      <c r="J576" s="13"/>
      <c r="K576" s="2"/>
    </row>
    <row r="577" spans="1:11" x14ac:dyDescent="0.3">
      <c r="A577" s="10"/>
      <c r="B577" s="6"/>
      <c r="C577" s="4"/>
      <c r="D577" s="4"/>
      <c r="E577" s="4"/>
      <c r="F577" s="4"/>
      <c r="G577" s="2"/>
      <c r="H577" s="4"/>
      <c r="I577" s="4"/>
      <c r="J577" s="13"/>
      <c r="K577" s="2"/>
    </row>
    <row r="578" spans="1:11" x14ac:dyDescent="0.3">
      <c r="A578" s="10"/>
      <c r="B578" s="6"/>
      <c r="C578" s="4"/>
      <c r="D578" s="4"/>
      <c r="E578" s="4"/>
      <c r="F578" s="4"/>
      <c r="G578" s="2"/>
      <c r="H578" s="4"/>
      <c r="I578" s="4"/>
      <c r="J578" s="13"/>
      <c r="K578" s="2"/>
    </row>
    <row r="579" spans="1:11" x14ac:dyDescent="0.3">
      <c r="A579" s="10"/>
      <c r="B579" s="6"/>
      <c r="C579" s="4"/>
      <c r="D579" s="4"/>
      <c r="E579" s="4"/>
      <c r="F579" s="4"/>
      <c r="G579" s="2"/>
      <c r="H579" s="4"/>
      <c r="I579" s="4"/>
      <c r="J579" s="13"/>
      <c r="K579" s="2"/>
    </row>
    <row r="580" spans="1:11" x14ac:dyDescent="0.3">
      <c r="A580" s="10"/>
      <c r="B580" s="6"/>
      <c r="C580" s="4"/>
      <c r="D580" s="4"/>
      <c r="E580" s="4"/>
      <c r="F580" s="4"/>
      <c r="G580" s="2"/>
      <c r="H580" s="4"/>
      <c r="I580" s="4"/>
      <c r="J580" s="13"/>
      <c r="K580" s="2"/>
    </row>
    <row r="581" spans="1:11" x14ac:dyDescent="0.3">
      <c r="A581" s="10"/>
      <c r="B581" s="6"/>
      <c r="C581" s="4"/>
      <c r="D581" s="4"/>
      <c r="E581" s="4"/>
      <c r="F581" s="4"/>
      <c r="G581" s="2"/>
      <c r="H581" s="4"/>
      <c r="I581" s="4"/>
      <c r="J581" s="13"/>
      <c r="K581" s="2"/>
    </row>
    <row r="582" spans="1:11" x14ac:dyDescent="0.3">
      <c r="A582" s="10"/>
      <c r="B582" s="6"/>
      <c r="C582" s="4"/>
      <c r="D582" s="4"/>
      <c r="E582" s="4"/>
      <c r="F582" s="4"/>
      <c r="G582" s="2"/>
      <c r="H582" s="4"/>
      <c r="I582" s="4"/>
      <c r="J582" s="13"/>
      <c r="K582" s="2"/>
    </row>
    <row r="583" spans="1:11" x14ac:dyDescent="0.3">
      <c r="A583" s="10"/>
      <c r="B583" s="6"/>
      <c r="C583" s="4"/>
      <c r="D583" s="4"/>
      <c r="E583" s="4"/>
      <c r="F583" s="4"/>
      <c r="G583" s="2"/>
      <c r="H583" s="4"/>
      <c r="I583" s="4"/>
      <c r="J583" s="13"/>
      <c r="K583" s="2"/>
    </row>
    <row r="584" spans="1:11" x14ac:dyDescent="0.3">
      <c r="A584" s="10"/>
      <c r="B584" s="6"/>
      <c r="C584" s="4"/>
      <c r="D584" s="4"/>
      <c r="E584" s="4"/>
      <c r="F584" s="4"/>
      <c r="G584" s="2"/>
      <c r="H584" s="4"/>
      <c r="I584" s="4"/>
      <c r="J584" s="13"/>
      <c r="K584" s="2"/>
    </row>
    <row r="585" spans="1:11" x14ac:dyDescent="0.3">
      <c r="A585" s="10"/>
      <c r="B585" s="6"/>
      <c r="C585" s="4"/>
      <c r="D585" s="4"/>
      <c r="E585" s="4"/>
      <c r="F585" s="4"/>
      <c r="G585" s="2"/>
      <c r="H585" s="4"/>
      <c r="I585" s="4"/>
      <c r="J585" s="13"/>
      <c r="K585" s="2"/>
    </row>
    <row r="586" spans="1:11" x14ac:dyDescent="0.3">
      <c r="A586" s="10"/>
      <c r="B586" s="6"/>
      <c r="C586" s="4"/>
      <c r="D586" s="4"/>
      <c r="E586" s="4"/>
      <c r="F586" s="4"/>
      <c r="G586" s="2"/>
      <c r="H586" s="4"/>
      <c r="I586" s="4"/>
      <c r="J586" s="13"/>
      <c r="K586" s="2"/>
    </row>
    <row r="587" spans="1:11" x14ac:dyDescent="0.3">
      <c r="A587" s="10"/>
      <c r="B587" s="6"/>
      <c r="C587" s="4"/>
      <c r="D587" s="4"/>
      <c r="E587" s="4"/>
      <c r="F587" s="4"/>
      <c r="G587" s="2"/>
      <c r="H587" s="4"/>
      <c r="I587" s="4"/>
      <c r="J587" s="13"/>
      <c r="K587" s="2"/>
    </row>
    <row r="588" spans="1:11" x14ac:dyDescent="0.3">
      <c r="A588" s="10"/>
      <c r="B588" s="6"/>
      <c r="C588" s="4"/>
      <c r="D588" s="4"/>
      <c r="E588" s="4"/>
      <c r="F588" s="4"/>
      <c r="G588" s="2"/>
      <c r="H588" s="4"/>
      <c r="I588" s="4"/>
      <c r="J588" s="13"/>
      <c r="K588" s="2"/>
    </row>
    <row r="589" spans="1:11" x14ac:dyDescent="0.3">
      <c r="A589" s="10"/>
      <c r="B589" s="6"/>
      <c r="C589" s="4"/>
      <c r="D589" s="4"/>
      <c r="E589" s="4"/>
      <c r="F589" s="4"/>
      <c r="G589" s="2"/>
      <c r="H589" s="4"/>
      <c r="I589" s="4"/>
      <c r="J589" s="13"/>
      <c r="K589" s="2"/>
    </row>
    <row r="590" spans="1:11" x14ac:dyDescent="0.3">
      <c r="A590" s="10"/>
      <c r="B590" s="6"/>
      <c r="C590" s="4"/>
      <c r="D590" s="4"/>
      <c r="E590" s="4"/>
      <c r="F590" s="4"/>
      <c r="G590" s="2"/>
      <c r="H590" s="4"/>
      <c r="I590" s="4"/>
      <c r="J590" s="13"/>
      <c r="K590" s="2"/>
    </row>
    <row r="591" spans="1:11" x14ac:dyDescent="0.3">
      <c r="A591" s="10"/>
      <c r="B591" s="6"/>
      <c r="C591" s="4"/>
      <c r="D591" s="4"/>
      <c r="E591" s="4"/>
      <c r="F591" s="4"/>
      <c r="G591" s="2"/>
      <c r="H591" s="4"/>
      <c r="I591" s="4"/>
      <c r="J591" s="13"/>
      <c r="K591" s="2"/>
    </row>
    <row r="592" spans="1:11" x14ac:dyDescent="0.3">
      <c r="A592" s="10"/>
      <c r="B592" s="6"/>
      <c r="C592" s="4"/>
      <c r="D592" s="4"/>
      <c r="E592" s="4"/>
      <c r="F592" s="4"/>
      <c r="G592" s="2"/>
      <c r="H592" s="4"/>
      <c r="I592" s="4"/>
      <c r="J592" s="13"/>
      <c r="K592" s="2"/>
    </row>
    <row r="593" spans="1:11" x14ac:dyDescent="0.3">
      <c r="A593" s="10"/>
      <c r="B593" s="6"/>
      <c r="C593" s="4"/>
      <c r="D593" s="4"/>
      <c r="E593" s="4"/>
      <c r="F593" s="4"/>
      <c r="G593" s="2"/>
      <c r="H593" s="4"/>
      <c r="I593" s="4"/>
      <c r="J593" s="13"/>
      <c r="K593" s="2"/>
    </row>
    <row r="594" spans="1:11" x14ac:dyDescent="0.3">
      <c r="A594" s="10"/>
      <c r="B594" s="6"/>
      <c r="C594" s="4"/>
      <c r="D594" s="4"/>
      <c r="E594" s="4"/>
      <c r="F594" s="4"/>
      <c r="G594" s="2"/>
      <c r="H594" s="4"/>
      <c r="I594" s="4"/>
      <c r="J594" s="13"/>
      <c r="K594" s="2"/>
    </row>
    <row r="595" spans="1:11" x14ac:dyDescent="0.3">
      <c r="A595" s="10"/>
      <c r="B595" s="6"/>
      <c r="C595" s="4"/>
      <c r="D595" s="4"/>
      <c r="E595" s="4"/>
      <c r="F595" s="4"/>
      <c r="G595" s="2"/>
      <c r="H595" s="4"/>
      <c r="I595" s="4"/>
      <c r="J595" s="13"/>
      <c r="K595" s="2"/>
    </row>
    <row r="596" spans="1:11" x14ac:dyDescent="0.3">
      <c r="A596" s="10"/>
      <c r="B596" s="6"/>
      <c r="C596" s="4"/>
      <c r="D596" s="4"/>
      <c r="E596" s="4"/>
      <c r="F596" s="4"/>
      <c r="G596" s="2"/>
      <c r="H596" s="4"/>
      <c r="I596" s="4"/>
      <c r="J596" s="13"/>
      <c r="K596" s="2"/>
    </row>
    <row r="597" spans="1:11" x14ac:dyDescent="0.3">
      <c r="A597" s="10"/>
      <c r="B597" s="6"/>
      <c r="C597" s="4"/>
      <c r="D597" s="4"/>
      <c r="E597" s="4"/>
      <c r="F597" s="4"/>
      <c r="G597" s="2"/>
      <c r="H597" s="4"/>
      <c r="I597" s="4"/>
      <c r="J597" s="13"/>
      <c r="K597" s="2"/>
    </row>
    <row r="598" spans="1:11" x14ac:dyDescent="0.3">
      <c r="A598" s="10"/>
      <c r="B598" s="6"/>
      <c r="C598" s="4"/>
      <c r="D598" s="4"/>
      <c r="E598" s="4"/>
      <c r="F598" s="4"/>
      <c r="G598" s="2"/>
      <c r="H598" s="4"/>
      <c r="I598" s="4"/>
      <c r="J598" s="13"/>
      <c r="K598" s="2"/>
    </row>
    <row r="599" spans="1:11" x14ac:dyDescent="0.3">
      <c r="A599" s="10"/>
      <c r="B599" s="6"/>
      <c r="C599" s="4"/>
      <c r="D599" s="4"/>
      <c r="E599" s="4"/>
      <c r="F599" s="4"/>
      <c r="G599" s="2"/>
      <c r="H599" s="4"/>
      <c r="I599" s="4"/>
      <c r="J599" s="13"/>
      <c r="K599" s="2"/>
    </row>
    <row r="600" spans="1:11" x14ac:dyDescent="0.3">
      <c r="A600" s="10"/>
      <c r="B600" s="6"/>
      <c r="C600" s="4"/>
      <c r="D600" s="4"/>
      <c r="E600" s="4"/>
      <c r="F600" s="4"/>
      <c r="G600" s="2"/>
      <c r="H600" s="4"/>
      <c r="I600" s="4"/>
      <c r="J600" s="13"/>
      <c r="K600" s="2"/>
    </row>
    <row r="601" spans="1:11" x14ac:dyDescent="0.3">
      <c r="A601" s="10"/>
      <c r="B601" s="6"/>
      <c r="C601" s="4"/>
      <c r="D601" s="4"/>
      <c r="E601" s="4"/>
      <c r="F601" s="4"/>
      <c r="G601" s="2"/>
      <c r="H601" s="4"/>
      <c r="I601" s="4"/>
      <c r="J601" s="13"/>
      <c r="K601" s="2"/>
    </row>
    <row r="602" spans="1:11" x14ac:dyDescent="0.3">
      <c r="A602" s="10"/>
      <c r="B602" s="6"/>
      <c r="C602" s="4"/>
      <c r="D602" s="4"/>
      <c r="E602" s="4"/>
      <c r="F602" s="4"/>
      <c r="G602" s="2"/>
      <c r="H602" s="4"/>
      <c r="I602" s="4"/>
      <c r="J602" s="13"/>
      <c r="K602" s="2"/>
    </row>
    <row r="603" spans="1:11" x14ac:dyDescent="0.3">
      <c r="A603" s="10"/>
      <c r="B603" s="6"/>
      <c r="C603" s="4"/>
      <c r="D603" s="4"/>
      <c r="E603" s="4"/>
      <c r="F603" s="4"/>
      <c r="G603" s="2"/>
      <c r="H603" s="4"/>
      <c r="I603" s="4"/>
      <c r="J603" s="13"/>
      <c r="K603" s="2"/>
    </row>
    <row r="604" spans="1:11" x14ac:dyDescent="0.3">
      <c r="A604" s="10"/>
      <c r="B604" s="6"/>
      <c r="C604" s="4"/>
      <c r="D604" s="4"/>
      <c r="E604" s="4"/>
      <c r="F604" s="4"/>
      <c r="G604" s="2"/>
      <c r="H604" s="4"/>
      <c r="I604" s="4"/>
      <c r="J604" s="13"/>
      <c r="K604" s="2"/>
    </row>
    <row r="605" spans="1:11" x14ac:dyDescent="0.3">
      <c r="A605" s="10"/>
      <c r="B605" s="6"/>
      <c r="C605" s="4"/>
      <c r="D605" s="4"/>
      <c r="E605" s="4"/>
      <c r="F605" s="4"/>
      <c r="G605" s="2"/>
      <c r="H605" s="4"/>
      <c r="I605" s="4"/>
      <c r="J605" s="13"/>
      <c r="K605" s="2"/>
    </row>
    <row r="606" spans="1:11" x14ac:dyDescent="0.3">
      <c r="A606" s="10"/>
      <c r="B606" s="6"/>
      <c r="C606" s="4"/>
      <c r="D606" s="4"/>
      <c r="E606" s="4"/>
      <c r="F606" s="4"/>
      <c r="G606" s="2"/>
      <c r="H606" s="4"/>
      <c r="I606" s="4"/>
      <c r="J606" s="13"/>
      <c r="K606" s="2"/>
    </row>
    <row r="607" spans="1:11" x14ac:dyDescent="0.3">
      <c r="A607" s="10"/>
      <c r="B607" s="6"/>
      <c r="C607" s="4"/>
      <c r="D607" s="4"/>
      <c r="E607" s="4"/>
      <c r="F607" s="4"/>
      <c r="G607" s="2"/>
      <c r="H607" s="4"/>
      <c r="I607" s="4"/>
      <c r="J607" s="13"/>
      <c r="K607" s="2"/>
    </row>
    <row r="608" spans="1:11" x14ac:dyDescent="0.3">
      <c r="A608" s="10"/>
      <c r="B608" s="6"/>
      <c r="C608" s="4"/>
      <c r="D608" s="4"/>
      <c r="E608" s="4"/>
      <c r="F608" s="4"/>
      <c r="G608" s="2"/>
      <c r="H608" s="4"/>
      <c r="I608" s="4"/>
      <c r="J608" s="13"/>
      <c r="K608" s="2"/>
    </row>
    <row r="609" spans="1:11" x14ac:dyDescent="0.3">
      <c r="A609" s="10"/>
      <c r="B609" s="6"/>
      <c r="C609" s="4"/>
      <c r="D609" s="4"/>
      <c r="E609" s="4"/>
      <c r="F609" s="4"/>
      <c r="G609" s="2"/>
      <c r="H609" s="4"/>
      <c r="I609" s="4"/>
      <c r="J609" s="13"/>
      <c r="K609" s="2"/>
    </row>
    <row r="610" spans="1:11" x14ac:dyDescent="0.3">
      <c r="A610" s="10"/>
      <c r="B610" s="6"/>
      <c r="C610" s="4"/>
      <c r="D610" s="4"/>
      <c r="E610" s="4"/>
      <c r="F610" s="4"/>
      <c r="G610" s="2"/>
      <c r="H610" s="4"/>
      <c r="I610" s="4"/>
      <c r="J610" s="13"/>
      <c r="K610" s="2"/>
    </row>
    <row r="611" spans="1:11" x14ac:dyDescent="0.3">
      <c r="A611" s="10"/>
      <c r="B611" s="6"/>
      <c r="C611" s="4"/>
      <c r="D611" s="4"/>
      <c r="E611" s="4"/>
      <c r="F611" s="4"/>
      <c r="G611" s="2"/>
      <c r="H611" s="4"/>
      <c r="I611" s="4"/>
      <c r="J611" s="13"/>
      <c r="K611" s="2"/>
    </row>
    <row r="612" spans="1:11" x14ac:dyDescent="0.3">
      <c r="A612" s="10"/>
      <c r="B612" s="6"/>
      <c r="C612" s="4"/>
      <c r="D612" s="4"/>
      <c r="E612" s="4"/>
      <c r="F612" s="4"/>
      <c r="G612" s="2"/>
      <c r="H612" s="4"/>
      <c r="I612" s="4"/>
      <c r="J612" s="13"/>
      <c r="K612" s="2"/>
    </row>
    <row r="613" spans="1:11" x14ac:dyDescent="0.3">
      <c r="A613" s="10"/>
      <c r="B613" s="6"/>
      <c r="C613" s="4"/>
      <c r="D613" s="4"/>
      <c r="E613" s="4"/>
      <c r="F613" s="4"/>
      <c r="G613" s="2"/>
      <c r="H613" s="4"/>
      <c r="I613" s="4"/>
      <c r="J613" s="13"/>
      <c r="K613" s="2"/>
    </row>
    <row r="614" spans="1:11" x14ac:dyDescent="0.3">
      <c r="A614" s="10"/>
      <c r="B614" s="6"/>
      <c r="C614" s="4"/>
      <c r="D614" s="4"/>
      <c r="E614" s="4"/>
      <c r="F614" s="4"/>
      <c r="G614" s="2"/>
      <c r="H614" s="4"/>
      <c r="I614" s="4"/>
      <c r="J614" s="13"/>
      <c r="K614" s="2"/>
    </row>
    <row r="615" spans="1:11" x14ac:dyDescent="0.3">
      <c r="A615" s="10"/>
      <c r="B615" s="6"/>
      <c r="C615" s="4"/>
      <c r="D615" s="4"/>
      <c r="E615" s="4"/>
      <c r="F615" s="4"/>
      <c r="G615" s="2"/>
      <c r="H615" s="4"/>
      <c r="I615" s="4"/>
      <c r="J615" s="13"/>
      <c r="K615" s="2"/>
    </row>
    <row r="616" spans="1:11" x14ac:dyDescent="0.3">
      <c r="A616" s="10"/>
      <c r="B616" s="6"/>
      <c r="C616" s="4"/>
      <c r="D616" s="4"/>
      <c r="E616" s="4"/>
      <c r="F616" s="4"/>
      <c r="G616" s="2"/>
      <c r="H616" s="4"/>
      <c r="I616" s="4"/>
      <c r="J616" s="13"/>
      <c r="K616" s="2"/>
    </row>
    <row r="617" spans="1:11" x14ac:dyDescent="0.3">
      <c r="A617" s="10"/>
      <c r="B617" s="6"/>
      <c r="C617" s="4"/>
      <c r="D617" s="4"/>
      <c r="E617" s="4"/>
      <c r="F617" s="4"/>
      <c r="G617" s="2"/>
      <c r="H617" s="4"/>
      <c r="I617" s="4"/>
      <c r="J617" s="13"/>
      <c r="K617" s="2"/>
    </row>
    <row r="618" spans="1:11" x14ac:dyDescent="0.3">
      <c r="A618" s="10"/>
      <c r="B618" s="6"/>
      <c r="C618" s="4"/>
      <c r="D618" s="4"/>
      <c r="E618" s="4"/>
      <c r="F618" s="4"/>
      <c r="G618" s="2"/>
      <c r="H618" s="4"/>
      <c r="I618" s="4"/>
      <c r="J618" s="13"/>
      <c r="K618" s="2"/>
    </row>
    <row r="619" spans="1:11" x14ac:dyDescent="0.3">
      <c r="A619" s="10"/>
      <c r="B619" s="6"/>
      <c r="C619" s="4"/>
      <c r="D619" s="4"/>
      <c r="E619" s="4"/>
      <c r="F619" s="4"/>
      <c r="G619" s="2"/>
      <c r="H619" s="4"/>
      <c r="I619" s="4"/>
      <c r="J619" s="13"/>
      <c r="K619" s="2"/>
    </row>
    <row r="620" spans="1:11" x14ac:dyDescent="0.3">
      <c r="A620" s="10"/>
      <c r="B620" s="6"/>
      <c r="C620" s="4"/>
      <c r="D620" s="4"/>
      <c r="E620" s="4"/>
      <c r="F620" s="4"/>
      <c r="G620" s="2"/>
      <c r="H620" s="4"/>
      <c r="I620" s="4"/>
      <c r="J620" s="13"/>
      <c r="K620" s="2"/>
    </row>
    <row r="621" spans="1:11" x14ac:dyDescent="0.3">
      <c r="A621" s="10"/>
      <c r="B621" s="6"/>
      <c r="C621" s="4"/>
      <c r="D621" s="4"/>
      <c r="E621" s="4"/>
      <c r="F621" s="4"/>
      <c r="G621" s="2"/>
      <c r="H621" s="4"/>
      <c r="I621" s="4"/>
      <c r="J621" s="13"/>
      <c r="K621" s="2"/>
    </row>
    <row r="622" spans="1:11" x14ac:dyDescent="0.3">
      <c r="A622" s="10"/>
      <c r="B622" s="6"/>
      <c r="C622" s="4"/>
      <c r="D622" s="4"/>
      <c r="E622" s="4"/>
      <c r="F622" s="4"/>
      <c r="G622" s="2"/>
      <c r="H622" s="4"/>
      <c r="I622" s="4"/>
      <c r="J622" s="13"/>
      <c r="K622" s="2"/>
    </row>
    <row r="623" spans="1:11" x14ac:dyDescent="0.3">
      <c r="A623" s="10"/>
      <c r="B623" s="6"/>
      <c r="C623" s="4"/>
      <c r="D623" s="4"/>
      <c r="E623" s="4"/>
      <c r="F623" s="4"/>
      <c r="G623" s="2"/>
      <c r="H623" s="4"/>
      <c r="I623" s="4"/>
      <c r="J623" s="13"/>
      <c r="K623" s="2"/>
    </row>
    <row r="624" spans="1:11" x14ac:dyDescent="0.3">
      <c r="A624" s="10"/>
      <c r="B624" s="6"/>
      <c r="C624" s="4"/>
      <c r="D624" s="4"/>
      <c r="E624" s="4"/>
      <c r="F624" s="4"/>
      <c r="G624" s="2"/>
      <c r="H624" s="4"/>
      <c r="I624" s="4"/>
      <c r="J624" s="13"/>
      <c r="K624" s="2"/>
    </row>
    <row r="625" spans="1:11" x14ac:dyDescent="0.3">
      <c r="A625" s="10"/>
      <c r="B625" s="6"/>
      <c r="C625" s="4"/>
      <c r="D625" s="4"/>
      <c r="E625" s="4"/>
      <c r="F625" s="4"/>
      <c r="G625" s="2"/>
      <c r="H625" s="4"/>
      <c r="I625" s="4"/>
      <c r="J625" s="13"/>
      <c r="K625" s="2"/>
    </row>
    <row r="626" spans="1:11" x14ac:dyDescent="0.3">
      <c r="A626" s="10"/>
      <c r="B626" s="6"/>
      <c r="C626" s="4"/>
      <c r="D626" s="4"/>
      <c r="E626" s="4"/>
      <c r="F626" s="4"/>
      <c r="G626" s="2"/>
      <c r="H626" s="4"/>
      <c r="I626" s="4"/>
      <c r="J626" s="13"/>
      <c r="K626" s="2"/>
    </row>
    <row r="627" spans="1:11" x14ac:dyDescent="0.3">
      <c r="A627" s="10"/>
      <c r="B627" s="6"/>
      <c r="C627" s="4"/>
      <c r="D627" s="4"/>
      <c r="E627" s="4"/>
      <c r="F627" s="4"/>
      <c r="G627" s="2"/>
      <c r="H627" s="4"/>
      <c r="I627" s="4"/>
      <c r="J627" s="13"/>
      <c r="K627" s="2"/>
    </row>
    <row r="628" spans="1:11" x14ac:dyDescent="0.3">
      <c r="A628" s="10"/>
      <c r="B628" s="6"/>
      <c r="C628" s="4"/>
      <c r="D628" s="4"/>
      <c r="E628" s="4"/>
      <c r="F628" s="4"/>
      <c r="G628" s="2"/>
      <c r="H628" s="4"/>
      <c r="I628" s="4"/>
      <c r="J628" s="13"/>
      <c r="K628" s="2"/>
    </row>
    <row r="629" spans="1:11" x14ac:dyDescent="0.3">
      <c r="A629" s="10"/>
      <c r="B629" s="6"/>
      <c r="C629" s="4"/>
      <c r="D629" s="4"/>
      <c r="E629" s="4"/>
      <c r="F629" s="4"/>
      <c r="G629" s="2"/>
      <c r="H629" s="4"/>
      <c r="I629" s="4"/>
      <c r="J629" s="13"/>
      <c r="K629" s="2"/>
    </row>
    <row r="630" spans="1:11" x14ac:dyDescent="0.3">
      <c r="A630" s="10"/>
      <c r="B630" s="6"/>
      <c r="C630" s="4"/>
      <c r="D630" s="4"/>
      <c r="E630" s="4"/>
      <c r="F630" s="4"/>
      <c r="G630" s="2"/>
      <c r="H630" s="4"/>
      <c r="I630" s="4"/>
      <c r="J630" s="13"/>
      <c r="K630" s="2"/>
    </row>
    <row r="631" spans="1:11" x14ac:dyDescent="0.3">
      <c r="A631" s="10"/>
      <c r="B631" s="6"/>
      <c r="C631" s="4"/>
      <c r="D631" s="4"/>
      <c r="E631" s="4"/>
      <c r="F631" s="4"/>
      <c r="G631" s="2"/>
      <c r="H631" s="4"/>
      <c r="I631" s="4"/>
      <c r="J631" s="13"/>
      <c r="K631" s="2"/>
    </row>
    <row r="632" spans="1:11" x14ac:dyDescent="0.3">
      <c r="A632" s="10"/>
      <c r="B632" s="6"/>
      <c r="C632" s="4"/>
      <c r="D632" s="4"/>
      <c r="E632" s="4"/>
      <c r="F632" s="4"/>
      <c r="G632" s="2"/>
      <c r="H632" s="4"/>
      <c r="I632" s="4"/>
      <c r="J632" s="13"/>
      <c r="K632" s="2"/>
    </row>
    <row r="633" spans="1:11" x14ac:dyDescent="0.3">
      <c r="A633" s="10"/>
      <c r="B633" s="6"/>
      <c r="C633" s="4"/>
      <c r="D633" s="4"/>
      <c r="E633" s="4"/>
      <c r="F633" s="4"/>
      <c r="G633" s="2"/>
      <c r="H633" s="4"/>
      <c r="I633" s="4"/>
      <c r="J633" s="13"/>
      <c r="K633" s="2"/>
    </row>
    <row r="634" spans="1:11" x14ac:dyDescent="0.3">
      <c r="A634" s="10"/>
      <c r="B634" s="6"/>
      <c r="C634" s="4"/>
      <c r="D634" s="4"/>
      <c r="E634" s="4"/>
      <c r="F634" s="4"/>
      <c r="G634" s="2"/>
      <c r="H634" s="4"/>
      <c r="I634" s="4"/>
      <c r="J634" s="13"/>
      <c r="K634" s="2"/>
    </row>
    <row r="635" spans="1:11" x14ac:dyDescent="0.3">
      <c r="A635" s="10"/>
      <c r="B635" s="6"/>
      <c r="C635" s="4"/>
      <c r="D635" s="4"/>
      <c r="E635" s="4"/>
      <c r="F635" s="4"/>
      <c r="G635" s="2"/>
      <c r="H635" s="4"/>
      <c r="I635" s="4"/>
      <c r="J635" s="13"/>
      <c r="K635" s="2"/>
    </row>
    <row r="636" spans="1:11" x14ac:dyDescent="0.3">
      <c r="A636" s="10"/>
      <c r="B636" s="6"/>
      <c r="C636" s="4"/>
      <c r="D636" s="4"/>
      <c r="E636" s="4"/>
      <c r="F636" s="4"/>
      <c r="G636" s="2"/>
      <c r="H636" s="4"/>
      <c r="I636" s="4"/>
      <c r="J636" s="13"/>
      <c r="K636" s="2"/>
    </row>
    <row r="637" spans="1:11" x14ac:dyDescent="0.3">
      <c r="A637" s="10"/>
      <c r="B637" s="6"/>
      <c r="C637" s="4"/>
      <c r="D637" s="4"/>
      <c r="E637" s="4"/>
      <c r="F637" s="4"/>
      <c r="G637" s="2"/>
      <c r="H637" s="4"/>
      <c r="I637" s="4"/>
      <c r="J637" s="13"/>
      <c r="K637" s="2"/>
    </row>
    <row r="638" spans="1:11" x14ac:dyDescent="0.3">
      <c r="A638" s="10"/>
      <c r="B638" s="6"/>
      <c r="C638" s="4"/>
      <c r="D638" s="4"/>
      <c r="E638" s="4"/>
      <c r="F638" s="4"/>
      <c r="G638" s="2"/>
      <c r="H638" s="4"/>
      <c r="I638" s="4"/>
      <c r="J638" s="13"/>
      <c r="K638" s="2"/>
    </row>
    <row r="639" spans="1:11" x14ac:dyDescent="0.3">
      <c r="A639" s="10"/>
      <c r="B639" s="6"/>
      <c r="C639" s="4"/>
      <c r="D639" s="4"/>
      <c r="E639" s="4"/>
      <c r="F639" s="4"/>
      <c r="G639" s="2"/>
      <c r="H639" s="4"/>
      <c r="I639" s="4"/>
      <c r="J639" s="13"/>
      <c r="K639" s="2"/>
    </row>
    <row r="640" spans="1:11" x14ac:dyDescent="0.3">
      <c r="A640" s="10"/>
      <c r="B640" s="6"/>
      <c r="C640" s="4"/>
      <c r="D640" s="4"/>
      <c r="E640" s="4"/>
      <c r="F640" s="4"/>
      <c r="G640" s="2"/>
      <c r="H640" s="4"/>
      <c r="I640" s="4"/>
      <c r="J640" s="13"/>
      <c r="K640" s="2"/>
    </row>
    <row r="641" spans="1:11" x14ac:dyDescent="0.3">
      <c r="A641" s="10"/>
      <c r="B641" s="6"/>
      <c r="C641" s="4"/>
      <c r="D641" s="4"/>
      <c r="E641" s="4"/>
      <c r="F641" s="4"/>
      <c r="G641" s="2"/>
      <c r="H641" s="4"/>
      <c r="I641" s="4"/>
      <c r="J641" s="13"/>
      <c r="K641" s="2"/>
    </row>
    <row r="642" spans="1:11" x14ac:dyDescent="0.3">
      <c r="A642" s="10"/>
      <c r="B642" s="6"/>
      <c r="C642" s="4"/>
      <c r="D642" s="4"/>
      <c r="E642" s="4"/>
      <c r="F642" s="4"/>
      <c r="G642" s="2"/>
      <c r="H642" s="4"/>
      <c r="I642" s="4"/>
      <c r="J642" s="13"/>
      <c r="K642" s="2"/>
    </row>
    <row r="643" spans="1:11" x14ac:dyDescent="0.3">
      <c r="A643" s="10"/>
      <c r="B643" s="6"/>
      <c r="C643" s="4"/>
      <c r="D643" s="4"/>
      <c r="E643" s="4"/>
      <c r="F643" s="4"/>
      <c r="G643" s="2"/>
      <c r="H643" s="4"/>
      <c r="I643" s="4"/>
      <c r="J643" s="13"/>
      <c r="K643" s="2"/>
    </row>
    <row r="644" spans="1:11" x14ac:dyDescent="0.3">
      <c r="A644" s="10"/>
      <c r="B644" s="6"/>
      <c r="C644" s="4"/>
      <c r="D644" s="4"/>
      <c r="E644" s="4"/>
      <c r="F644" s="4"/>
      <c r="G644" s="2"/>
      <c r="H644" s="4"/>
      <c r="I644" s="4"/>
      <c r="J644" s="13"/>
      <c r="K644" s="2"/>
    </row>
    <row r="645" spans="1:11" x14ac:dyDescent="0.3">
      <c r="A645" s="10"/>
      <c r="B645" s="6"/>
      <c r="C645" s="4"/>
      <c r="D645" s="4"/>
      <c r="E645" s="4"/>
      <c r="F645" s="4"/>
      <c r="G645" s="2"/>
      <c r="H645" s="4"/>
      <c r="I645" s="4"/>
      <c r="J645" s="13"/>
      <c r="K645" s="2"/>
    </row>
    <row r="646" spans="1:11" x14ac:dyDescent="0.3">
      <c r="A646" s="10"/>
      <c r="B646" s="6"/>
      <c r="C646" s="4"/>
      <c r="D646" s="4"/>
      <c r="E646" s="4"/>
      <c r="F646" s="4"/>
      <c r="G646" s="2"/>
      <c r="H646" s="4"/>
      <c r="I646" s="4"/>
      <c r="J646" s="13"/>
      <c r="K646" s="2"/>
    </row>
    <row r="647" spans="1:11" x14ac:dyDescent="0.3">
      <c r="A647" s="10"/>
      <c r="B647" s="6"/>
      <c r="C647" s="4"/>
      <c r="D647" s="4"/>
      <c r="E647" s="4"/>
      <c r="F647" s="4"/>
      <c r="G647" s="2"/>
      <c r="H647" s="4"/>
      <c r="I647" s="4"/>
      <c r="J647" s="13"/>
      <c r="K647" s="2"/>
    </row>
    <row r="648" spans="1:11" x14ac:dyDescent="0.3">
      <c r="A648" s="10"/>
      <c r="B648" s="6"/>
      <c r="C648" s="4"/>
      <c r="D648" s="4"/>
      <c r="E648" s="4"/>
      <c r="F648" s="4"/>
      <c r="G648" s="2"/>
      <c r="H648" s="4"/>
      <c r="I648" s="4"/>
      <c r="J648" s="13"/>
      <c r="K648" s="2"/>
    </row>
    <row r="649" spans="1:11" x14ac:dyDescent="0.3">
      <c r="A649" s="10"/>
      <c r="B649" s="6"/>
      <c r="C649" s="4"/>
      <c r="D649" s="4"/>
      <c r="E649" s="4"/>
      <c r="F649" s="4"/>
      <c r="G649" s="2"/>
      <c r="H649" s="4"/>
      <c r="I649" s="4"/>
      <c r="J649" s="13"/>
      <c r="K649" s="2"/>
    </row>
    <row r="650" spans="1:11" x14ac:dyDescent="0.3">
      <c r="A650" s="10"/>
      <c r="B650" s="6"/>
      <c r="C650" s="4"/>
      <c r="D650" s="4"/>
      <c r="E650" s="4"/>
      <c r="F650" s="4"/>
      <c r="G650" s="2"/>
      <c r="H650" s="4"/>
      <c r="I650" s="4"/>
      <c r="J650" s="13"/>
      <c r="K650" s="2"/>
    </row>
    <row r="651" spans="1:11" x14ac:dyDescent="0.3">
      <c r="A651" s="10"/>
      <c r="B651" s="6"/>
      <c r="C651" s="4"/>
      <c r="D651" s="4"/>
      <c r="E651" s="4"/>
      <c r="F651" s="4"/>
      <c r="G651" s="2"/>
      <c r="H651" s="4"/>
      <c r="I651" s="4"/>
      <c r="J651" s="13"/>
      <c r="K651" s="2"/>
    </row>
    <row r="652" spans="1:11" x14ac:dyDescent="0.3">
      <c r="A652" s="10"/>
      <c r="B652" s="6"/>
      <c r="C652" s="4"/>
      <c r="D652" s="4"/>
      <c r="E652" s="4"/>
      <c r="F652" s="4"/>
      <c r="G652" s="2"/>
      <c r="H652" s="4"/>
      <c r="I652" s="4"/>
      <c r="J652" s="13"/>
      <c r="K652" s="2"/>
    </row>
    <row r="653" spans="1:11" x14ac:dyDescent="0.3">
      <c r="A653" s="10"/>
      <c r="B653" s="6"/>
      <c r="C653" s="4"/>
      <c r="D653" s="4"/>
      <c r="E653" s="4"/>
      <c r="F653" s="4"/>
      <c r="G653" s="2"/>
      <c r="H653" s="4"/>
      <c r="I653" s="4"/>
      <c r="J653" s="13"/>
      <c r="K653" s="2"/>
    </row>
    <row r="654" spans="1:11" x14ac:dyDescent="0.3">
      <c r="A654" s="10"/>
      <c r="B654" s="6"/>
      <c r="C654" s="4"/>
      <c r="D654" s="4"/>
      <c r="E654" s="4"/>
      <c r="F654" s="4"/>
      <c r="G654" s="2"/>
      <c r="H654" s="4"/>
      <c r="I654" s="4"/>
      <c r="J654" s="13"/>
      <c r="K654" s="2"/>
    </row>
    <row r="655" spans="1:11" x14ac:dyDescent="0.3">
      <c r="A655" s="10"/>
      <c r="B655" s="6"/>
      <c r="C655" s="4"/>
      <c r="D655" s="4"/>
      <c r="E655" s="4"/>
      <c r="F655" s="4"/>
      <c r="G655" s="2"/>
      <c r="H655" s="4"/>
      <c r="I655" s="4"/>
      <c r="J655" s="13"/>
      <c r="K655" s="2"/>
    </row>
    <row r="656" spans="1:11" x14ac:dyDescent="0.3">
      <c r="A656" s="10"/>
      <c r="B656" s="6"/>
      <c r="C656" s="4"/>
      <c r="D656" s="4"/>
      <c r="E656" s="4"/>
      <c r="F656" s="4"/>
      <c r="G656" s="2"/>
      <c r="H656" s="4"/>
      <c r="I656" s="4"/>
      <c r="J656" s="13"/>
      <c r="K656" s="2"/>
    </row>
    <row r="657" spans="1:11" x14ac:dyDescent="0.3">
      <c r="A657" s="10"/>
      <c r="B657" s="6"/>
      <c r="C657" s="4"/>
      <c r="D657" s="4"/>
      <c r="E657" s="4"/>
      <c r="F657" s="4"/>
      <c r="G657" s="2"/>
      <c r="H657" s="4"/>
      <c r="I657" s="4"/>
      <c r="J657" s="13"/>
      <c r="K657" s="2"/>
    </row>
    <row r="658" spans="1:11" x14ac:dyDescent="0.3">
      <c r="A658" s="10"/>
      <c r="B658" s="6"/>
      <c r="C658" s="4"/>
      <c r="D658" s="4"/>
      <c r="E658" s="4"/>
      <c r="F658" s="4"/>
      <c r="G658" s="2"/>
      <c r="H658" s="4"/>
      <c r="I658" s="4"/>
      <c r="J658" s="13"/>
      <c r="K658" s="2"/>
    </row>
    <row r="659" spans="1:11" x14ac:dyDescent="0.3">
      <c r="A659" s="10"/>
      <c r="B659" s="6"/>
      <c r="C659" s="4"/>
      <c r="D659" s="4"/>
      <c r="E659" s="4"/>
      <c r="F659" s="4"/>
      <c r="G659" s="2"/>
      <c r="H659" s="4"/>
      <c r="I659" s="4"/>
      <c r="J659" s="13"/>
      <c r="K659" s="2"/>
    </row>
    <row r="660" spans="1:11" x14ac:dyDescent="0.3">
      <c r="A660" s="10"/>
      <c r="B660" s="6"/>
      <c r="C660" s="4"/>
      <c r="D660" s="4"/>
      <c r="E660" s="4"/>
      <c r="F660" s="4"/>
      <c r="G660" s="2"/>
      <c r="H660" s="4"/>
      <c r="I660" s="4"/>
      <c r="J660" s="13"/>
      <c r="K660" s="2"/>
    </row>
    <row r="661" spans="1:11" x14ac:dyDescent="0.3">
      <c r="A661" s="10"/>
      <c r="B661" s="6"/>
      <c r="C661" s="4"/>
      <c r="D661" s="4"/>
      <c r="E661" s="4"/>
      <c r="F661" s="4"/>
      <c r="G661" s="2"/>
      <c r="H661" s="4"/>
      <c r="I661" s="4"/>
      <c r="J661" s="13"/>
      <c r="K661" s="2"/>
    </row>
    <row r="662" spans="1:11" x14ac:dyDescent="0.3">
      <c r="A662" s="10"/>
      <c r="B662" s="6"/>
      <c r="C662" s="4"/>
      <c r="D662" s="4"/>
      <c r="E662" s="4"/>
      <c r="F662" s="4"/>
      <c r="G662" s="2"/>
      <c r="H662" s="4"/>
      <c r="I662" s="4"/>
      <c r="J662" s="13"/>
      <c r="K662" s="2"/>
    </row>
    <row r="663" spans="1:11" x14ac:dyDescent="0.3">
      <c r="A663" s="10"/>
      <c r="B663" s="6"/>
      <c r="C663" s="4"/>
      <c r="D663" s="4"/>
      <c r="E663" s="4"/>
      <c r="F663" s="4"/>
      <c r="G663" s="2"/>
      <c r="H663" s="4"/>
      <c r="I663" s="4"/>
      <c r="J663" s="13"/>
      <c r="K663" s="2"/>
    </row>
    <row r="664" spans="1:11" x14ac:dyDescent="0.3">
      <c r="A664" s="10"/>
      <c r="B664" s="6"/>
      <c r="C664" s="4"/>
      <c r="D664" s="4"/>
      <c r="E664" s="4"/>
      <c r="F664" s="4"/>
      <c r="G664" s="2"/>
      <c r="H664" s="4"/>
      <c r="I664" s="4"/>
      <c r="J664" s="13"/>
      <c r="K664" s="2"/>
    </row>
    <row r="665" spans="1:11" x14ac:dyDescent="0.3">
      <c r="A665" s="10"/>
      <c r="B665" s="6"/>
      <c r="C665" s="4"/>
      <c r="D665" s="4"/>
      <c r="E665" s="4"/>
      <c r="F665" s="4"/>
      <c r="G665" s="2"/>
      <c r="H665" s="4"/>
      <c r="I665" s="4"/>
      <c r="J665" s="13"/>
      <c r="K665" s="2"/>
    </row>
    <row r="666" spans="1:11" x14ac:dyDescent="0.3">
      <c r="A666" s="10"/>
      <c r="B666" s="6"/>
      <c r="C666" s="4"/>
      <c r="D666" s="4"/>
      <c r="E666" s="4"/>
      <c r="F666" s="4"/>
      <c r="G666" s="2"/>
      <c r="H666" s="4"/>
      <c r="I666" s="4"/>
      <c r="J666" s="13"/>
      <c r="K666" s="2"/>
    </row>
    <row r="667" spans="1:11" x14ac:dyDescent="0.3">
      <c r="A667" s="10"/>
      <c r="B667" s="6"/>
      <c r="C667" s="4"/>
      <c r="D667" s="4"/>
      <c r="E667" s="4"/>
      <c r="F667" s="4"/>
      <c r="G667" s="2"/>
      <c r="H667" s="4"/>
      <c r="I667" s="4"/>
      <c r="J667" s="13"/>
      <c r="K667" s="2"/>
    </row>
    <row r="668" spans="1:11" x14ac:dyDescent="0.3">
      <c r="A668" s="10"/>
      <c r="B668" s="6"/>
      <c r="C668" s="4"/>
      <c r="D668" s="4"/>
      <c r="E668" s="4"/>
      <c r="F668" s="4"/>
      <c r="G668" s="2"/>
      <c r="H668" s="4"/>
      <c r="I668" s="4"/>
      <c r="J668" s="13"/>
      <c r="K668" s="2"/>
    </row>
    <row r="669" spans="1:11" x14ac:dyDescent="0.3">
      <c r="A669" s="10"/>
      <c r="B669" s="6"/>
      <c r="C669" s="4"/>
      <c r="D669" s="4"/>
      <c r="E669" s="4"/>
      <c r="F669" s="4"/>
      <c r="G669" s="2"/>
      <c r="H669" s="4"/>
      <c r="I669" s="4"/>
      <c r="J669" s="13"/>
      <c r="K669" s="2"/>
    </row>
    <row r="670" spans="1:11" x14ac:dyDescent="0.3">
      <c r="A670" s="10"/>
      <c r="B670" s="6"/>
      <c r="C670" s="4"/>
      <c r="D670" s="4"/>
      <c r="E670" s="4"/>
      <c r="F670" s="4"/>
      <c r="G670" s="2"/>
      <c r="H670" s="4"/>
      <c r="I670" s="4"/>
      <c r="J670" s="13"/>
      <c r="K670" s="2"/>
    </row>
    <row r="671" spans="1:11" x14ac:dyDescent="0.3">
      <c r="A671" s="10"/>
      <c r="B671" s="6"/>
      <c r="C671" s="4"/>
      <c r="D671" s="4"/>
      <c r="E671" s="4"/>
      <c r="F671" s="4"/>
      <c r="G671" s="2"/>
      <c r="H671" s="4"/>
      <c r="I671" s="4"/>
      <c r="J671" s="13"/>
      <c r="K671" s="2"/>
    </row>
    <row r="672" spans="1:11" x14ac:dyDescent="0.3">
      <c r="A672" s="10"/>
      <c r="B672" s="6"/>
      <c r="C672" s="4"/>
      <c r="D672" s="4"/>
      <c r="E672" s="4"/>
      <c r="F672" s="4"/>
      <c r="G672" s="2"/>
      <c r="H672" s="4"/>
      <c r="I672" s="4"/>
      <c r="J672" s="13"/>
      <c r="K672" s="2"/>
    </row>
    <row r="673" spans="1:11" x14ac:dyDescent="0.3">
      <c r="A673" s="10"/>
      <c r="B673" s="6"/>
      <c r="C673" s="4"/>
      <c r="D673" s="4"/>
      <c r="E673" s="4"/>
      <c r="F673" s="4"/>
      <c r="G673" s="2"/>
      <c r="H673" s="4"/>
      <c r="I673" s="4"/>
      <c r="J673" s="13"/>
      <c r="K673" s="2"/>
    </row>
    <row r="674" spans="1:11" x14ac:dyDescent="0.3">
      <c r="A674" s="10"/>
      <c r="B674" s="6"/>
      <c r="C674" s="4"/>
      <c r="D674" s="4"/>
      <c r="E674" s="4"/>
      <c r="F674" s="4"/>
      <c r="G674" s="2"/>
      <c r="H674" s="4"/>
      <c r="I674" s="4"/>
      <c r="J674" s="13"/>
      <c r="K674" s="2"/>
    </row>
    <row r="675" spans="1:11" x14ac:dyDescent="0.3">
      <c r="A675" s="10"/>
      <c r="B675" s="6"/>
      <c r="C675" s="4"/>
      <c r="D675" s="4"/>
      <c r="E675" s="4"/>
      <c r="F675" s="4"/>
      <c r="G675" s="2"/>
      <c r="H675" s="4"/>
      <c r="I675" s="4"/>
      <c r="J675" s="13"/>
      <c r="K675" s="2"/>
    </row>
    <row r="676" spans="1:11" x14ac:dyDescent="0.3">
      <c r="A676" s="10"/>
      <c r="B676" s="6"/>
      <c r="C676" s="4"/>
      <c r="D676" s="4"/>
      <c r="E676" s="4"/>
      <c r="F676" s="4"/>
      <c r="G676" s="2"/>
      <c r="H676" s="4"/>
      <c r="I676" s="4"/>
      <c r="J676" s="13"/>
      <c r="K676" s="2"/>
    </row>
    <row r="677" spans="1:11" x14ac:dyDescent="0.3">
      <c r="A677" s="10"/>
      <c r="B677" s="6"/>
      <c r="C677" s="4"/>
      <c r="D677" s="4"/>
      <c r="E677" s="4"/>
      <c r="F677" s="4"/>
      <c r="G677" s="2"/>
      <c r="H677" s="4"/>
      <c r="I677" s="4"/>
      <c r="J677" s="13"/>
      <c r="K677" s="2"/>
    </row>
    <row r="678" spans="1:11" x14ac:dyDescent="0.3">
      <c r="A678" s="10"/>
      <c r="B678" s="6"/>
      <c r="C678" s="4"/>
      <c r="D678" s="4"/>
      <c r="E678" s="4"/>
      <c r="F678" s="4"/>
      <c r="G678" s="2"/>
      <c r="H678" s="4"/>
      <c r="I678" s="4"/>
      <c r="J678" s="13"/>
      <c r="K678" s="2"/>
    </row>
    <row r="679" spans="1:11" x14ac:dyDescent="0.3">
      <c r="A679" s="10"/>
      <c r="B679" s="6"/>
      <c r="C679" s="4"/>
      <c r="D679" s="4"/>
      <c r="E679" s="4"/>
      <c r="F679" s="4"/>
      <c r="G679" s="2"/>
      <c r="H679" s="4"/>
      <c r="I679" s="4"/>
      <c r="J679" s="13"/>
      <c r="K679" s="2"/>
    </row>
    <row r="680" spans="1:11" x14ac:dyDescent="0.3">
      <c r="A680" s="10"/>
      <c r="B680" s="6"/>
      <c r="C680" s="4"/>
      <c r="D680" s="4"/>
      <c r="E680" s="4"/>
      <c r="F680" s="4"/>
      <c r="G680" s="2"/>
      <c r="H680" s="4"/>
      <c r="I680" s="4"/>
      <c r="J680" s="13"/>
      <c r="K680" s="2"/>
    </row>
    <row r="681" spans="1:11" x14ac:dyDescent="0.3">
      <c r="A681" s="10"/>
      <c r="B681" s="6"/>
      <c r="C681" s="4"/>
      <c r="D681" s="4"/>
      <c r="E681" s="4"/>
      <c r="F681" s="4"/>
      <c r="G681" s="2"/>
      <c r="H681" s="4"/>
      <c r="I681" s="4"/>
      <c r="J681" s="13"/>
      <c r="K681" s="2"/>
    </row>
    <row r="682" spans="1:11" x14ac:dyDescent="0.3">
      <c r="A682" s="10"/>
      <c r="B682" s="6"/>
      <c r="C682" s="4"/>
      <c r="D682" s="4"/>
      <c r="E682" s="4"/>
      <c r="F682" s="4"/>
      <c r="G682" s="2"/>
      <c r="H682" s="4"/>
      <c r="I682" s="4"/>
      <c r="J682" s="13"/>
      <c r="K682" s="2"/>
    </row>
    <row r="683" spans="1:11" x14ac:dyDescent="0.3">
      <c r="A683" s="10"/>
      <c r="B683" s="6"/>
      <c r="C683" s="4"/>
      <c r="D683" s="4"/>
      <c r="E683" s="4"/>
      <c r="F683" s="4"/>
      <c r="G683" s="2"/>
      <c r="H683" s="4"/>
      <c r="I683" s="4"/>
      <c r="J683" s="13"/>
      <c r="K683" s="2"/>
    </row>
    <row r="684" spans="1:11" x14ac:dyDescent="0.3">
      <c r="A684" s="10"/>
      <c r="B684" s="6"/>
      <c r="C684" s="4"/>
      <c r="D684" s="4"/>
      <c r="E684" s="4"/>
      <c r="F684" s="4"/>
      <c r="G684" s="2"/>
      <c r="H684" s="4"/>
      <c r="I684" s="4"/>
      <c r="J684" s="13"/>
      <c r="K684" s="2"/>
    </row>
    <row r="685" spans="1:11" x14ac:dyDescent="0.3">
      <c r="A685" s="10"/>
      <c r="B685" s="6"/>
      <c r="C685" s="4"/>
      <c r="D685" s="4"/>
      <c r="E685" s="4"/>
      <c r="F685" s="4"/>
      <c r="G685" s="2"/>
      <c r="H685" s="4"/>
      <c r="I685" s="4"/>
      <c r="J685" s="13"/>
      <c r="K685" s="2"/>
    </row>
    <row r="686" spans="1:11" x14ac:dyDescent="0.3">
      <c r="A686" s="10"/>
      <c r="B686" s="6"/>
      <c r="C686" s="4"/>
      <c r="D686" s="4"/>
      <c r="E686" s="4"/>
      <c r="F686" s="4"/>
      <c r="G686" s="2"/>
      <c r="H686" s="4"/>
      <c r="I686" s="4"/>
      <c r="J686" s="13"/>
      <c r="K686" s="2"/>
    </row>
    <row r="687" spans="1:11" x14ac:dyDescent="0.3">
      <c r="A687" s="10"/>
      <c r="B687" s="6"/>
      <c r="C687" s="4"/>
      <c r="D687" s="4"/>
      <c r="E687" s="4"/>
      <c r="F687" s="4"/>
      <c r="G687" s="2"/>
      <c r="H687" s="4"/>
      <c r="I687" s="4"/>
      <c r="J687" s="13"/>
      <c r="K687" s="2"/>
    </row>
    <row r="688" spans="1:11" x14ac:dyDescent="0.3">
      <c r="A688" s="10"/>
      <c r="B688" s="6"/>
      <c r="C688" s="4"/>
      <c r="D688" s="4"/>
      <c r="E688" s="4"/>
      <c r="F688" s="4"/>
      <c r="G688" s="2"/>
      <c r="H688" s="4"/>
      <c r="I688" s="4"/>
      <c r="J688" s="13"/>
      <c r="K688" s="2"/>
    </row>
    <row r="689" spans="1:11" x14ac:dyDescent="0.3">
      <c r="A689" s="10"/>
      <c r="B689" s="6"/>
      <c r="C689" s="4"/>
      <c r="D689" s="4"/>
      <c r="E689" s="4"/>
      <c r="F689" s="4"/>
      <c r="G689" s="2"/>
      <c r="H689" s="4"/>
      <c r="I689" s="4"/>
      <c r="J689" s="13"/>
      <c r="K689" s="2"/>
    </row>
    <row r="690" spans="1:11" x14ac:dyDescent="0.3">
      <c r="A690" s="10"/>
      <c r="B690" s="6"/>
      <c r="C690" s="4"/>
      <c r="D690" s="4"/>
      <c r="E690" s="4"/>
      <c r="F690" s="4"/>
      <c r="G690" s="2"/>
      <c r="H690" s="4"/>
      <c r="I690" s="4"/>
      <c r="J690" s="13"/>
      <c r="K690" s="2"/>
    </row>
    <row r="691" spans="1:11" x14ac:dyDescent="0.3">
      <c r="A691" s="10"/>
      <c r="B691" s="6"/>
      <c r="C691" s="4"/>
      <c r="D691" s="4"/>
      <c r="E691" s="4"/>
      <c r="F691" s="4"/>
      <c r="G691" s="2"/>
      <c r="H691" s="4"/>
      <c r="I691" s="4"/>
      <c r="J691" s="13"/>
      <c r="K691" s="2"/>
    </row>
    <row r="692" spans="1:11" x14ac:dyDescent="0.3">
      <c r="A692" s="10"/>
      <c r="B692" s="6"/>
      <c r="C692" s="4"/>
      <c r="D692" s="4"/>
      <c r="E692" s="4"/>
      <c r="F692" s="4"/>
      <c r="G692" s="2"/>
      <c r="H692" s="4"/>
      <c r="I692" s="4"/>
      <c r="J692" s="13"/>
      <c r="K692" s="2"/>
    </row>
    <row r="693" spans="1:11" x14ac:dyDescent="0.3">
      <c r="A693" s="10"/>
      <c r="B693" s="6"/>
      <c r="C693" s="4"/>
      <c r="D693" s="4"/>
      <c r="E693" s="4"/>
      <c r="F693" s="4"/>
      <c r="G693" s="2"/>
      <c r="H693" s="4"/>
      <c r="I693" s="4"/>
      <c r="J693" s="13"/>
      <c r="K693" s="2"/>
    </row>
    <row r="694" spans="1:11" x14ac:dyDescent="0.3">
      <c r="A694" s="10"/>
      <c r="B694" s="6"/>
      <c r="C694" s="4"/>
      <c r="D694" s="4"/>
      <c r="E694" s="4"/>
      <c r="F694" s="4"/>
      <c r="G694" s="2"/>
      <c r="H694" s="4"/>
      <c r="I694" s="4"/>
      <c r="J694" s="13"/>
      <c r="K694" s="2"/>
    </row>
    <row r="695" spans="1:11" x14ac:dyDescent="0.3">
      <c r="A695" s="10"/>
      <c r="B695" s="6"/>
      <c r="C695" s="4"/>
      <c r="D695" s="4"/>
      <c r="E695" s="4"/>
      <c r="F695" s="4"/>
      <c r="G695" s="2"/>
      <c r="H695" s="4"/>
      <c r="I695" s="4"/>
      <c r="J695" s="13"/>
      <c r="K695" s="2"/>
    </row>
    <row r="696" spans="1:11" x14ac:dyDescent="0.3">
      <c r="A696" s="10"/>
      <c r="B696" s="6"/>
      <c r="C696" s="4"/>
      <c r="D696" s="4"/>
      <c r="E696" s="4"/>
      <c r="F696" s="4"/>
      <c r="G696" s="2"/>
      <c r="H696" s="4"/>
      <c r="I696" s="4"/>
      <c r="J696" s="13"/>
      <c r="K696" s="2"/>
    </row>
    <row r="697" spans="1:11" x14ac:dyDescent="0.3">
      <c r="A697" s="10"/>
      <c r="B697" s="6"/>
      <c r="C697" s="4"/>
      <c r="D697" s="4"/>
      <c r="E697" s="4"/>
      <c r="F697" s="4"/>
      <c r="G697" s="2"/>
      <c r="H697" s="4"/>
      <c r="I697" s="4"/>
      <c r="J697" s="13"/>
      <c r="K697" s="2"/>
    </row>
    <row r="698" spans="1:11" x14ac:dyDescent="0.3">
      <c r="A698" s="10"/>
      <c r="B698" s="6"/>
      <c r="C698" s="4"/>
      <c r="D698" s="4"/>
      <c r="E698" s="4"/>
      <c r="F698" s="4"/>
      <c r="G698" s="2"/>
      <c r="H698" s="4"/>
      <c r="I698" s="4"/>
      <c r="J698" s="13"/>
      <c r="K698" s="2"/>
    </row>
    <row r="699" spans="1:11" x14ac:dyDescent="0.3">
      <c r="A699" s="10"/>
      <c r="B699" s="6"/>
      <c r="C699" s="4"/>
      <c r="D699" s="4"/>
      <c r="E699" s="4"/>
      <c r="F699" s="4"/>
      <c r="G699" s="2"/>
      <c r="H699" s="4"/>
      <c r="I699" s="4"/>
      <c r="J699" s="13"/>
      <c r="K699" s="2"/>
    </row>
    <row r="700" spans="1:11" x14ac:dyDescent="0.3">
      <c r="A700" s="10"/>
      <c r="B700" s="6"/>
      <c r="C700" s="4"/>
      <c r="D700" s="4"/>
      <c r="E700" s="4"/>
      <c r="F700" s="4"/>
      <c r="G700" s="2"/>
      <c r="H700" s="4"/>
      <c r="I700" s="4"/>
      <c r="J700" s="13"/>
      <c r="K700" s="2"/>
    </row>
    <row r="701" spans="1:11" x14ac:dyDescent="0.3">
      <c r="A701" s="10"/>
      <c r="B701" s="6"/>
      <c r="C701" s="4"/>
      <c r="D701" s="4"/>
      <c r="E701" s="4"/>
      <c r="F701" s="4"/>
      <c r="G701" s="2"/>
      <c r="H701" s="4"/>
      <c r="I701" s="4"/>
      <c r="J701" s="13"/>
      <c r="K701" s="2"/>
    </row>
    <row r="702" spans="1:11" x14ac:dyDescent="0.3">
      <c r="A702" s="10"/>
      <c r="B702" s="6"/>
      <c r="C702" s="4"/>
      <c r="D702" s="4"/>
      <c r="E702" s="4"/>
      <c r="F702" s="4"/>
      <c r="G702" s="2"/>
      <c r="H702" s="4"/>
      <c r="I702" s="4"/>
      <c r="J702" s="13"/>
      <c r="K702" s="2"/>
    </row>
    <row r="703" spans="1:11" x14ac:dyDescent="0.3">
      <c r="A703" s="10"/>
      <c r="B703" s="6"/>
      <c r="C703" s="4"/>
      <c r="D703" s="4"/>
      <c r="E703" s="4"/>
      <c r="F703" s="4"/>
      <c r="G703" s="2"/>
      <c r="H703" s="4"/>
      <c r="I703" s="4"/>
      <c r="J703" s="13"/>
      <c r="K703" s="2"/>
    </row>
    <row r="704" spans="1:11" x14ac:dyDescent="0.3">
      <c r="A704" s="10"/>
      <c r="B704" s="6"/>
      <c r="C704" s="4"/>
      <c r="D704" s="4"/>
      <c r="E704" s="4"/>
      <c r="F704" s="4"/>
      <c r="G704" s="2"/>
      <c r="H704" s="4"/>
      <c r="I704" s="4"/>
      <c r="J704" s="13"/>
      <c r="K704" s="2"/>
    </row>
    <row r="705" spans="1:11" x14ac:dyDescent="0.3">
      <c r="A705" s="10"/>
      <c r="B705" s="6"/>
      <c r="C705" s="4"/>
      <c r="D705" s="4"/>
      <c r="E705" s="4"/>
      <c r="F705" s="4"/>
      <c r="G705" s="2"/>
      <c r="H705" s="4"/>
      <c r="I705" s="4"/>
      <c r="J705" s="13"/>
      <c r="K705" s="2"/>
    </row>
    <row r="706" spans="1:11" x14ac:dyDescent="0.3">
      <c r="A706" s="10"/>
      <c r="B706" s="6"/>
      <c r="C706" s="4"/>
      <c r="D706" s="4"/>
      <c r="E706" s="4"/>
      <c r="F706" s="4"/>
      <c r="G706" s="2"/>
      <c r="H706" s="4"/>
      <c r="I706" s="4"/>
      <c r="J706" s="13"/>
      <c r="K706" s="2"/>
    </row>
    <row r="707" spans="1:11" x14ac:dyDescent="0.3">
      <c r="A707" s="10"/>
      <c r="B707" s="6"/>
      <c r="C707" s="4"/>
      <c r="D707" s="4"/>
      <c r="E707" s="4"/>
      <c r="F707" s="4"/>
      <c r="G707" s="2"/>
      <c r="H707" s="4"/>
      <c r="I707" s="4"/>
      <c r="J707" s="13"/>
      <c r="K707" s="2"/>
    </row>
    <row r="708" spans="1:11" x14ac:dyDescent="0.3">
      <c r="A708" s="10"/>
      <c r="B708" s="6"/>
      <c r="C708" s="4"/>
      <c r="D708" s="4"/>
      <c r="E708" s="4"/>
      <c r="F708" s="4"/>
      <c r="G708" s="2"/>
      <c r="H708" s="4"/>
      <c r="I708" s="4"/>
      <c r="J708" s="13"/>
      <c r="K708" s="2"/>
    </row>
    <row r="709" spans="1:11" x14ac:dyDescent="0.3">
      <c r="A709" s="10"/>
      <c r="B709" s="6"/>
      <c r="C709" s="4"/>
      <c r="D709" s="4"/>
      <c r="E709" s="4"/>
      <c r="F709" s="4"/>
      <c r="G709" s="2"/>
      <c r="H709" s="4"/>
      <c r="I709" s="4"/>
      <c r="J709" s="13"/>
      <c r="K709" s="2"/>
    </row>
    <row r="710" spans="1:11" x14ac:dyDescent="0.3">
      <c r="A710" s="10"/>
      <c r="B710" s="6"/>
      <c r="C710" s="4"/>
      <c r="D710" s="4"/>
      <c r="E710" s="4"/>
      <c r="F710" s="4"/>
      <c r="G710" s="2"/>
      <c r="H710" s="4"/>
      <c r="I710" s="4"/>
      <c r="J710" s="13"/>
      <c r="K710" s="2"/>
    </row>
    <row r="711" spans="1:11" x14ac:dyDescent="0.3">
      <c r="A711" s="10"/>
      <c r="B711" s="6"/>
      <c r="C711" s="4"/>
      <c r="D711" s="4"/>
      <c r="E711" s="4"/>
      <c r="F711" s="4"/>
      <c r="G711" s="2"/>
      <c r="H711" s="4"/>
      <c r="I711" s="4"/>
      <c r="J711" s="13"/>
      <c r="K711" s="2"/>
    </row>
    <row r="712" spans="1:11" x14ac:dyDescent="0.3">
      <c r="A712" s="10"/>
      <c r="B712" s="6"/>
      <c r="C712" s="4"/>
      <c r="D712" s="4"/>
      <c r="E712" s="4"/>
      <c r="F712" s="4"/>
      <c r="G712" s="2"/>
      <c r="H712" s="4"/>
      <c r="I712" s="4"/>
      <c r="J712" s="13"/>
      <c r="K712" s="2"/>
    </row>
    <row r="713" spans="1:11" x14ac:dyDescent="0.3">
      <c r="A713" s="10"/>
      <c r="B713" s="6"/>
      <c r="C713" s="4"/>
      <c r="D713" s="4"/>
      <c r="E713" s="4"/>
      <c r="F713" s="4"/>
      <c r="G713" s="2"/>
      <c r="H713" s="4"/>
      <c r="I713" s="4"/>
      <c r="J713" s="13"/>
      <c r="K713" s="2"/>
    </row>
    <row r="714" spans="1:11" x14ac:dyDescent="0.3">
      <c r="A714" s="10"/>
      <c r="B714" s="6"/>
      <c r="C714" s="4"/>
      <c r="D714" s="4"/>
      <c r="E714" s="4"/>
      <c r="F714" s="4"/>
      <c r="G714" s="2"/>
      <c r="H714" s="4"/>
      <c r="I714" s="4"/>
      <c r="J714" s="13"/>
      <c r="K714" s="2"/>
    </row>
    <row r="715" spans="1:11" x14ac:dyDescent="0.3">
      <c r="A715" s="10"/>
      <c r="B715" s="6"/>
      <c r="C715" s="4"/>
      <c r="D715" s="4"/>
      <c r="E715" s="4"/>
      <c r="F715" s="4"/>
      <c r="G715" s="2"/>
      <c r="H715" s="4"/>
      <c r="I715" s="4"/>
      <c r="J715" s="13"/>
      <c r="K715" s="2"/>
    </row>
    <row r="716" spans="1:11" x14ac:dyDescent="0.3">
      <c r="A716" s="10"/>
      <c r="B716" s="6"/>
      <c r="C716" s="4"/>
      <c r="D716" s="4"/>
      <c r="E716" s="4"/>
      <c r="F716" s="4"/>
      <c r="G716" s="2"/>
      <c r="H716" s="4"/>
      <c r="I716" s="4"/>
      <c r="J716" s="13"/>
      <c r="K716" s="2"/>
    </row>
    <row r="717" spans="1:11" x14ac:dyDescent="0.3">
      <c r="A717" s="10"/>
      <c r="B717" s="6"/>
      <c r="C717" s="4"/>
      <c r="D717" s="4"/>
      <c r="E717" s="4"/>
      <c r="F717" s="4"/>
      <c r="G717" s="2"/>
      <c r="H717" s="4"/>
      <c r="I717" s="4"/>
      <c r="J717" s="13"/>
      <c r="K717" s="2"/>
    </row>
    <row r="718" spans="1:11" x14ac:dyDescent="0.3">
      <c r="A718" s="10"/>
      <c r="B718" s="6"/>
      <c r="C718" s="4"/>
      <c r="D718" s="4"/>
      <c r="E718" s="4"/>
      <c r="F718" s="4"/>
      <c r="G718" s="2"/>
      <c r="H718" s="4"/>
      <c r="I718" s="4"/>
      <c r="J718" s="13"/>
      <c r="K718" s="2"/>
    </row>
    <row r="719" spans="1:11" x14ac:dyDescent="0.3">
      <c r="A719" s="10"/>
      <c r="B719" s="6"/>
      <c r="C719" s="4"/>
      <c r="D719" s="4"/>
      <c r="E719" s="4"/>
      <c r="F719" s="4"/>
      <c r="G719" s="2"/>
      <c r="H719" s="4"/>
      <c r="I719" s="4"/>
      <c r="J719" s="13"/>
      <c r="K719" s="2"/>
    </row>
    <row r="720" spans="1:11" x14ac:dyDescent="0.3">
      <c r="A720" s="10"/>
      <c r="B720" s="6"/>
      <c r="C720" s="4"/>
      <c r="D720" s="4"/>
      <c r="E720" s="4"/>
      <c r="F720" s="4"/>
      <c r="G720" s="2"/>
      <c r="H720" s="4"/>
      <c r="I720" s="4"/>
      <c r="J720" s="13"/>
      <c r="K720" s="2"/>
    </row>
    <row r="721" spans="1:11" x14ac:dyDescent="0.3">
      <c r="A721" s="10"/>
      <c r="B721" s="6"/>
      <c r="C721" s="4"/>
      <c r="D721" s="4"/>
      <c r="E721" s="4"/>
      <c r="F721" s="4"/>
      <c r="G721" s="2"/>
      <c r="H721" s="4"/>
      <c r="I721" s="4"/>
      <c r="J721" s="13"/>
      <c r="K721" s="2"/>
    </row>
    <row r="722" spans="1:11" x14ac:dyDescent="0.3">
      <c r="A722" s="10"/>
      <c r="B722" s="6"/>
      <c r="C722" s="4"/>
      <c r="D722" s="4"/>
      <c r="E722" s="4"/>
      <c r="F722" s="4"/>
      <c r="G722" s="2"/>
      <c r="H722" s="4"/>
      <c r="I722" s="4"/>
      <c r="J722" s="13"/>
      <c r="K722" s="2"/>
    </row>
    <row r="723" spans="1:11" x14ac:dyDescent="0.3">
      <c r="A723" s="10"/>
      <c r="B723" s="6"/>
      <c r="C723" s="4"/>
      <c r="D723" s="4"/>
      <c r="E723" s="4"/>
      <c r="F723" s="4"/>
      <c r="G723" s="2"/>
      <c r="H723" s="4"/>
      <c r="I723" s="4"/>
      <c r="J723" s="13"/>
      <c r="K723" s="2"/>
    </row>
    <row r="724" spans="1:11" x14ac:dyDescent="0.3">
      <c r="A724" s="10"/>
      <c r="B724" s="6"/>
      <c r="C724" s="4"/>
      <c r="D724" s="4"/>
      <c r="E724" s="4"/>
      <c r="F724" s="4"/>
      <c r="G724" s="2"/>
      <c r="H724" s="4"/>
      <c r="I724" s="4"/>
      <c r="J724" s="13"/>
      <c r="K724" s="2"/>
    </row>
    <row r="725" spans="1:11" x14ac:dyDescent="0.3">
      <c r="A725" s="10"/>
      <c r="B725" s="6"/>
      <c r="C725" s="4"/>
      <c r="D725" s="4"/>
      <c r="E725" s="4"/>
      <c r="F725" s="4"/>
      <c r="G725" s="2"/>
      <c r="H725" s="4"/>
      <c r="I725" s="4"/>
      <c r="J725" s="13"/>
      <c r="K725" s="2"/>
    </row>
    <row r="726" spans="1:11" x14ac:dyDescent="0.3">
      <c r="A726" s="10"/>
      <c r="B726" s="6"/>
      <c r="C726" s="4"/>
      <c r="D726" s="4"/>
      <c r="E726" s="4"/>
      <c r="F726" s="4"/>
      <c r="G726" s="2"/>
      <c r="H726" s="4"/>
      <c r="I726" s="4"/>
      <c r="J726" s="13"/>
      <c r="K726" s="2"/>
    </row>
    <row r="727" spans="1:11" x14ac:dyDescent="0.3">
      <c r="A727" s="10"/>
      <c r="B727" s="6"/>
      <c r="C727" s="4"/>
      <c r="D727" s="4"/>
      <c r="E727" s="4"/>
      <c r="F727" s="4"/>
      <c r="G727" s="2"/>
      <c r="H727" s="4"/>
      <c r="I727" s="4"/>
      <c r="J727" s="13"/>
      <c r="K727" s="2"/>
    </row>
    <row r="728" spans="1:11" x14ac:dyDescent="0.3">
      <c r="A728" s="10"/>
      <c r="B728" s="6"/>
      <c r="C728" s="4"/>
      <c r="D728" s="4"/>
      <c r="E728" s="4"/>
      <c r="F728" s="4"/>
      <c r="G728" s="2"/>
      <c r="H728" s="4"/>
      <c r="I728" s="4"/>
      <c r="J728" s="13"/>
      <c r="K728" s="2"/>
    </row>
    <row r="729" spans="1:11" x14ac:dyDescent="0.3">
      <c r="A729" s="10"/>
      <c r="B729" s="6"/>
      <c r="C729" s="4"/>
      <c r="D729" s="4"/>
      <c r="E729" s="4"/>
      <c r="F729" s="4"/>
      <c r="G729" s="2"/>
      <c r="H729" s="4"/>
      <c r="I729" s="4"/>
      <c r="J729" s="13"/>
      <c r="K729" s="2"/>
    </row>
    <row r="730" spans="1:11" x14ac:dyDescent="0.3">
      <c r="A730" s="10"/>
      <c r="B730" s="6"/>
      <c r="C730" s="4"/>
      <c r="D730" s="4"/>
      <c r="E730" s="4"/>
      <c r="F730" s="4"/>
      <c r="G730" s="2"/>
      <c r="H730" s="4"/>
      <c r="I730" s="4"/>
      <c r="J730" s="13"/>
      <c r="K730" s="2"/>
    </row>
    <row r="731" spans="1:11" x14ac:dyDescent="0.3">
      <c r="A731" s="10"/>
      <c r="B731" s="6"/>
      <c r="C731" s="4"/>
      <c r="D731" s="4"/>
      <c r="E731" s="4"/>
      <c r="F731" s="4"/>
      <c r="G731" s="2"/>
      <c r="H731" s="4"/>
      <c r="I731" s="4"/>
      <c r="J731" s="13"/>
      <c r="K731" s="2"/>
    </row>
    <row r="732" spans="1:11" x14ac:dyDescent="0.3">
      <c r="A732" s="10"/>
      <c r="B732" s="6"/>
      <c r="C732" s="4"/>
      <c r="D732" s="4"/>
      <c r="E732" s="4"/>
      <c r="F732" s="4"/>
      <c r="G732" s="2"/>
      <c r="H732" s="4"/>
      <c r="I732" s="4"/>
      <c r="J732" s="13"/>
      <c r="K732" s="2"/>
    </row>
    <row r="733" spans="1:11" x14ac:dyDescent="0.3">
      <c r="A733" s="10"/>
      <c r="B733" s="6"/>
      <c r="C733" s="4"/>
      <c r="D733" s="4"/>
      <c r="E733" s="4"/>
      <c r="F733" s="4"/>
      <c r="G733" s="2"/>
      <c r="H733" s="4"/>
      <c r="I733" s="4"/>
      <c r="J733" s="13"/>
      <c r="K733" s="2"/>
    </row>
    <row r="734" spans="1:11" x14ac:dyDescent="0.3">
      <c r="A734" s="10"/>
      <c r="B734" s="6"/>
      <c r="C734" s="4"/>
      <c r="D734" s="4"/>
      <c r="E734" s="4"/>
      <c r="F734" s="4"/>
      <c r="G734" s="2"/>
      <c r="H734" s="4"/>
      <c r="I734" s="4"/>
      <c r="J734" s="13"/>
      <c r="K734" s="2"/>
    </row>
    <row r="735" spans="1:11" x14ac:dyDescent="0.3">
      <c r="A735" s="10"/>
      <c r="B735" s="6"/>
      <c r="C735" s="4"/>
      <c r="D735" s="4"/>
      <c r="E735" s="4"/>
      <c r="F735" s="4"/>
      <c r="G735" s="2"/>
      <c r="H735" s="4"/>
      <c r="I735" s="4"/>
      <c r="J735" s="13"/>
      <c r="K735" s="2"/>
    </row>
    <row r="736" spans="1:11" x14ac:dyDescent="0.3">
      <c r="A736" s="10"/>
      <c r="B736" s="6"/>
      <c r="C736" s="4"/>
      <c r="D736" s="4"/>
      <c r="E736" s="4"/>
      <c r="F736" s="4"/>
      <c r="G736" s="2"/>
      <c r="H736" s="4"/>
      <c r="I736" s="4"/>
      <c r="J736" s="13"/>
      <c r="K736" s="2"/>
    </row>
    <row r="737" spans="1:11" x14ac:dyDescent="0.3">
      <c r="A737" s="10"/>
      <c r="B737" s="6"/>
      <c r="C737" s="4"/>
      <c r="D737" s="4"/>
      <c r="E737" s="4"/>
      <c r="F737" s="4"/>
      <c r="G737" s="2"/>
      <c r="H737" s="4"/>
      <c r="I737" s="4"/>
      <c r="J737" s="13"/>
      <c r="K737" s="2"/>
    </row>
    <row r="738" spans="1:11" x14ac:dyDescent="0.3">
      <c r="A738" s="10"/>
      <c r="B738" s="6"/>
      <c r="C738" s="4"/>
      <c r="D738" s="4"/>
      <c r="E738" s="4"/>
      <c r="F738" s="4"/>
      <c r="G738" s="2"/>
      <c r="H738" s="4"/>
      <c r="I738" s="4"/>
      <c r="J738" s="13"/>
      <c r="K738" s="2"/>
    </row>
    <row r="739" spans="1:11" x14ac:dyDescent="0.3">
      <c r="A739" s="10"/>
      <c r="B739" s="6"/>
      <c r="C739" s="4"/>
      <c r="D739" s="4"/>
      <c r="E739" s="4"/>
      <c r="F739" s="4"/>
      <c r="G739" s="2"/>
      <c r="H739" s="4"/>
      <c r="I739" s="4"/>
      <c r="J739" s="13"/>
      <c r="K739" s="2"/>
    </row>
    <row r="740" spans="1:11" x14ac:dyDescent="0.3">
      <c r="A740" s="10"/>
      <c r="B740" s="6"/>
      <c r="C740" s="4"/>
      <c r="D740" s="4"/>
      <c r="E740" s="4"/>
      <c r="F740" s="4"/>
      <c r="G740" s="2"/>
      <c r="H740" s="4"/>
      <c r="I740" s="4"/>
      <c r="J740" s="13"/>
      <c r="K740" s="2"/>
    </row>
    <row r="741" spans="1:11" x14ac:dyDescent="0.3">
      <c r="A741" s="10"/>
      <c r="B741" s="6"/>
      <c r="C741" s="4"/>
      <c r="D741" s="4"/>
      <c r="E741" s="4"/>
      <c r="F741" s="4"/>
      <c r="G741" s="2"/>
      <c r="H741" s="4"/>
      <c r="I741" s="4"/>
      <c r="J741" s="13"/>
      <c r="K741" s="2"/>
    </row>
    <row r="742" spans="1:11" x14ac:dyDescent="0.3">
      <c r="A742" s="10"/>
      <c r="B742" s="6"/>
      <c r="C742" s="4"/>
      <c r="D742" s="4"/>
      <c r="E742" s="4"/>
      <c r="F742" s="4"/>
      <c r="G742" s="2"/>
      <c r="H742" s="4"/>
      <c r="I742" s="4"/>
      <c r="J742" s="13"/>
      <c r="K742" s="2"/>
    </row>
    <row r="743" spans="1:11" x14ac:dyDescent="0.3">
      <c r="A743" s="10"/>
      <c r="B743" s="6"/>
      <c r="C743" s="4"/>
      <c r="D743" s="4"/>
      <c r="E743" s="4"/>
      <c r="F743" s="4"/>
      <c r="G743" s="2"/>
      <c r="H743" s="4"/>
      <c r="I743" s="4"/>
      <c r="J743" s="13"/>
      <c r="K743" s="2"/>
    </row>
    <row r="744" spans="1:11" x14ac:dyDescent="0.3">
      <c r="A744" s="10"/>
      <c r="B744" s="6"/>
      <c r="C744" s="4"/>
      <c r="D744" s="4"/>
      <c r="E744" s="4"/>
      <c r="F744" s="4"/>
      <c r="G744" s="2"/>
      <c r="H744" s="4"/>
      <c r="I744" s="4"/>
      <c r="J744" s="13"/>
      <c r="K744" s="2"/>
    </row>
    <row r="745" spans="1:11" x14ac:dyDescent="0.3">
      <c r="A745" s="10"/>
      <c r="B745" s="6"/>
      <c r="C745" s="4"/>
      <c r="D745" s="4"/>
      <c r="E745" s="4"/>
      <c r="F745" s="4"/>
      <c r="G745" s="2"/>
      <c r="H745" s="4"/>
      <c r="I745" s="4"/>
      <c r="J745" s="13"/>
      <c r="K745" s="2"/>
    </row>
    <row r="746" spans="1:11" x14ac:dyDescent="0.3">
      <c r="A746" s="10"/>
      <c r="B746" s="6"/>
      <c r="C746" s="4"/>
      <c r="D746" s="4"/>
      <c r="E746" s="4"/>
      <c r="F746" s="4"/>
      <c r="G746" s="2"/>
      <c r="H746" s="4"/>
      <c r="I746" s="4"/>
      <c r="J746" s="13"/>
      <c r="K746" s="2"/>
    </row>
    <row r="747" spans="1:11" x14ac:dyDescent="0.3">
      <c r="A747" s="10"/>
      <c r="B747" s="6"/>
      <c r="C747" s="4"/>
      <c r="D747" s="4"/>
      <c r="E747" s="4"/>
      <c r="F747" s="4"/>
      <c r="G747" s="2"/>
      <c r="H747" s="4"/>
      <c r="I747" s="4"/>
      <c r="J747" s="13"/>
      <c r="K747" s="2"/>
    </row>
    <row r="748" spans="1:11" x14ac:dyDescent="0.3">
      <c r="A748" s="10"/>
      <c r="B748" s="6"/>
      <c r="C748" s="4"/>
      <c r="D748" s="4"/>
      <c r="E748" s="4"/>
      <c r="F748" s="4"/>
      <c r="G748" s="2"/>
      <c r="H748" s="4"/>
      <c r="I748" s="4"/>
      <c r="J748" s="13"/>
      <c r="K748" s="2"/>
    </row>
    <row r="749" spans="1:11" x14ac:dyDescent="0.3">
      <c r="A749" s="10"/>
      <c r="B749" s="6"/>
      <c r="C749" s="4"/>
      <c r="D749" s="4"/>
      <c r="E749" s="4"/>
      <c r="F749" s="4"/>
      <c r="G749" s="2"/>
      <c r="H749" s="4"/>
      <c r="I749" s="4"/>
      <c r="J749" s="13"/>
      <c r="K749" s="2"/>
    </row>
    <row r="750" spans="1:11" x14ac:dyDescent="0.3">
      <c r="A750" s="10"/>
      <c r="B750" s="6"/>
      <c r="C750" s="4"/>
      <c r="D750" s="4"/>
      <c r="E750" s="4"/>
      <c r="F750" s="4"/>
      <c r="G750" s="2"/>
      <c r="H750" s="4"/>
      <c r="I750" s="4"/>
      <c r="J750" s="13"/>
      <c r="K750" s="2"/>
    </row>
    <row r="751" spans="1:11" x14ac:dyDescent="0.3">
      <c r="A751" s="10"/>
      <c r="B751" s="6"/>
      <c r="C751" s="4"/>
      <c r="D751" s="4"/>
      <c r="E751" s="4"/>
      <c r="F751" s="4"/>
      <c r="G751" s="2"/>
      <c r="H751" s="4"/>
      <c r="I751" s="4"/>
      <c r="J751" s="13"/>
      <c r="K751" s="2"/>
    </row>
    <row r="752" spans="1:11" x14ac:dyDescent="0.3">
      <c r="A752" s="10"/>
      <c r="B752" s="6"/>
      <c r="C752" s="4"/>
      <c r="D752" s="4"/>
      <c r="E752" s="4"/>
      <c r="F752" s="4"/>
      <c r="G752" s="2"/>
      <c r="H752" s="4"/>
      <c r="I752" s="4"/>
      <c r="J752" s="13"/>
      <c r="K752" s="2"/>
    </row>
    <row r="753" spans="1:11" x14ac:dyDescent="0.3">
      <c r="A753" s="10"/>
      <c r="B753" s="6"/>
      <c r="C753" s="4"/>
      <c r="D753" s="4"/>
      <c r="E753" s="4"/>
      <c r="F753" s="4"/>
      <c r="G753" s="2"/>
      <c r="H753" s="4"/>
      <c r="I753" s="4"/>
      <c r="J753" s="13"/>
      <c r="K753" s="2"/>
    </row>
    <row r="754" spans="1:11" x14ac:dyDescent="0.3">
      <c r="A754" s="10"/>
      <c r="B754" s="6"/>
      <c r="C754" s="4"/>
      <c r="D754" s="4"/>
      <c r="E754" s="4"/>
      <c r="F754" s="4"/>
      <c r="G754" s="2"/>
      <c r="H754" s="4"/>
      <c r="I754" s="4"/>
      <c r="J754" s="13"/>
      <c r="K754" s="2"/>
    </row>
    <row r="755" spans="1:11" x14ac:dyDescent="0.3">
      <c r="A755" s="10"/>
      <c r="B755" s="6"/>
      <c r="C755" s="4"/>
      <c r="D755" s="4"/>
      <c r="E755" s="4"/>
      <c r="F755" s="4"/>
      <c r="G755" s="2"/>
      <c r="H755" s="4"/>
      <c r="I755" s="4"/>
      <c r="J755" s="13"/>
      <c r="K755" s="2"/>
    </row>
    <row r="756" spans="1:11" x14ac:dyDescent="0.3">
      <c r="A756" s="10"/>
      <c r="B756" s="6"/>
      <c r="C756" s="4"/>
      <c r="D756" s="4"/>
      <c r="E756" s="4"/>
      <c r="F756" s="4"/>
      <c r="G756" s="2"/>
      <c r="H756" s="4"/>
      <c r="I756" s="4"/>
      <c r="J756" s="13"/>
      <c r="K756" s="2"/>
    </row>
    <row r="757" spans="1:11" x14ac:dyDescent="0.3">
      <c r="A757" s="10"/>
      <c r="B757" s="6"/>
      <c r="C757" s="4"/>
      <c r="D757" s="4"/>
      <c r="E757" s="4"/>
      <c r="F757" s="4"/>
      <c r="G757" s="2"/>
      <c r="H757" s="4"/>
      <c r="I757" s="4"/>
      <c r="J757" s="13"/>
      <c r="K757" s="2"/>
    </row>
    <row r="758" spans="1:11" x14ac:dyDescent="0.3">
      <c r="A758" s="10"/>
      <c r="B758" s="6"/>
      <c r="C758" s="4"/>
      <c r="D758" s="4"/>
      <c r="E758" s="4"/>
      <c r="F758" s="4"/>
      <c r="G758" s="2"/>
      <c r="H758" s="4"/>
      <c r="I758" s="4"/>
      <c r="J758" s="13"/>
      <c r="K758" s="2"/>
    </row>
    <row r="759" spans="1:11" x14ac:dyDescent="0.3">
      <c r="A759" s="10"/>
      <c r="B759" s="6"/>
      <c r="C759" s="4"/>
      <c r="D759" s="4"/>
      <c r="E759" s="4"/>
      <c r="F759" s="4"/>
      <c r="G759" s="2"/>
      <c r="H759" s="4"/>
      <c r="I759" s="4"/>
      <c r="J759" s="13"/>
      <c r="K759" s="2"/>
    </row>
    <row r="760" spans="1:11" x14ac:dyDescent="0.3">
      <c r="A760" s="10"/>
      <c r="B760" s="6"/>
      <c r="C760" s="4"/>
      <c r="D760" s="4"/>
      <c r="E760" s="4"/>
      <c r="F760" s="4"/>
      <c r="G760" s="2"/>
      <c r="H760" s="4"/>
      <c r="I760" s="4"/>
      <c r="J760" s="13"/>
      <c r="K760" s="2"/>
    </row>
    <row r="761" spans="1:11" x14ac:dyDescent="0.3">
      <c r="A761" s="10"/>
      <c r="B761" s="6"/>
      <c r="C761" s="4"/>
      <c r="D761" s="4"/>
      <c r="E761" s="4"/>
      <c r="F761" s="4"/>
      <c r="G761" s="2"/>
      <c r="H761" s="4"/>
      <c r="I761" s="4"/>
      <c r="J761" s="13"/>
      <c r="K761" s="2"/>
    </row>
    <row r="762" spans="1:11" x14ac:dyDescent="0.3">
      <c r="A762" s="10"/>
      <c r="B762" s="6"/>
      <c r="C762" s="4"/>
      <c r="D762" s="4"/>
      <c r="E762" s="4"/>
      <c r="F762" s="4"/>
      <c r="G762" s="2"/>
      <c r="H762" s="4"/>
      <c r="I762" s="4"/>
      <c r="J762" s="13"/>
      <c r="K762" s="2"/>
    </row>
    <row r="763" spans="1:11" x14ac:dyDescent="0.3">
      <c r="A763" s="10"/>
      <c r="B763" s="6"/>
      <c r="C763" s="4"/>
      <c r="D763" s="4"/>
      <c r="E763" s="4"/>
      <c r="F763" s="4"/>
      <c r="G763" s="2"/>
      <c r="H763" s="4"/>
      <c r="I763" s="4"/>
      <c r="J763" s="13"/>
      <c r="K763" s="2"/>
    </row>
    <row r="764" spans="1:11" x14ac:dyDescent="0.3">
      <c r="A764" s="10"/>
      <c r="B764" s="6"/>
      <c r="C764" s="4"/>
      <c r="D764" s="4"/>
      <c r="E764" s="4"/>
      <c r="F764" s="4"/>
      <c r="G764" s="2"/>
      <c r="H764" s="4"/>
      <c r="I764" s="4"/>
      <c r="J764" s="13"/>
      <c r="K764" s="2"/>
    </row>
    <row r="765" spans="1:11" x14ac:dyDescent="0.3">
      <c r="A765" s="10"/>
      <c r="B765" s="6"/>
      <c r="C765" s="4"/>
      <c r="D765" s="4"/>
      <c r="E765" s="4"/>
      <c r="F765" s="4"/>
      <c r="G765" s="2"/>
      <c r="H765" s="4"/>
      <c r="I765" s="4"/>
      <c r="J765" s="13"/>
      <c r="K765" s="2"/>
    </row>
    <row r="766" spans="1:11" x14ac:dyDescent="0.3">
      <c r="A766" s="10"/>
      <c r="B766" s="6"/>
      <c r="C766" s="4"/>
      <c r="D766" s="4"/>
      <c r="E766" s="4"/>
      <c r="F766" s="4"/>
      <c r="G766" s="2"/>
      <c r="H766" s="4"/>
      <c r="I766" s="4"/>
      <c r="J766" s="13"/>
      <c r="K766" s="2"/>
    </row>
    <row r="767" spans="1:11" x14ac:dyDescent="0.3">
      <c r="A767" s="10"/>
      <c r="B767" s="6"/>
      <c r="C767" s="4"/>
      <c r="D767" s="4"/>
      <c r="E767" s="4"/>
      <c r="F767" s="4"/>
      <c r="G767" s="2"/>
      <c r="H767" s="4"/>
      <c r="I767" s="4"/>
      <c r="J767" s="13"/>
      <c r="K767" s="2"/>
    </row>
    <row r="768" spans="1:11" x14ac:dyDescent="0.3">
      <c r="A768" s="10"/>
      <c r="B768" s="6"/>
      <c r="C768" s="4"/>
      <c r="D768" s="4"/>
      <c r="E768" s="4"/>
      <c r="F768" s="4"/>
      <c r="G768" s="2"/>
      <c r="H768" s="4"/>
      <c r="I768" s="4"/>
      <c r="J768" s="13"/>
      <c r="K768" s="2"/>
    </row>
    <row r="769" spans="1:11" x14ac:dyDescent="0.3">
      <c r="A769" s="10"/>
      <c r="B769" s="6"/>
      <c r="C769" s="4"/>
      <c r="D769" s="4"/>
      <c r="E769" s="4"/>
      <c r="F769" s="4"/>
      <c r="G769" s="2"/>
      <c r="H769" s="4"/>
      <c r="I769" s="4"/>
      <c r="J769" s="13"/>
      <c r="K769" s="2"/>
    </row>
    <row r="770" spans="1:11" x14ac:dyDescent="0.3">
      <c r="A770" s="10"/>
      <c r="B770" s="6"/>
      <c r="C770" s="4"/>
      <c r="D770" s="4"/>
      <c r="E770" s="4"/>
      <c r="F770" s="4"/>
      <c r="G770" s="2"/>
      <c r="H770" s="4"/>
      <c r="I770" s="4"/>
      <c r="J770" s="13"/>
      <c r="K770" s="2"/>
    </row>
    <row r="771" spans="1:11" x14ac:dyDescent="0.3">
      <c r="A771" s="10"/>
      <c r="B771" s="6"/>
      <c r="C771" s="4"/>
      <c r="D771" s="4"/>
      <c r="E771" s="4"/>
      <c r="F771" s="4"/>
      <c r="G771" s="2"/>
      <c r="H771" s="4"/>
      <c r="I771" s="4"/>
      <c r="J771" s="13"/>
      <c r="K771" s="2"/>
    </row>
    <row r="772" spans="1:11" x14ac:dyDescent="0.3">
      <c r="A772" s="10"/>
      <c r="B772" s="6"/>
      <c r="C772" s="4"/>
      <c r="D772" s="4"/>
      <c r="E772" s="4"/>
      <c r="F772" s="4"/>
      <c r="G772" s="2"/>
      <c r="H772" s="4"/>
      <c r="I772" s="4"/>
      <c r="J772" s="13"/>
      <c r="K772" s="2"/>
    </row>
    <row r="773" spans="1:11" x14ac:dyDescent="0.3">
      <c r="A773" s="10"/>
      <c r="B773" s="6"/>
      <c r="C773" s="4"/>
      <c r="D773" s="4"/>
      <c r="E773" s="4"/>
      <c r="F773" s="4"/>
      <c r="G773" s="2"/>
      <c r="H773" s="4"/>
      <c r="I773" s="4"/>
      <c r="J773" s="13"/>
      <c r="K773" s="2"/>
    </row>
    <row r="774" spans="1:11" x14ac:dyDescent="0.3">
      <c r="A774" s="10"/>
      <c r="B774" s="6"/>
      <c r="C774" s="4"/>
      <c r="D774" s="4"/>
      <c r="E774" s="4"/>
      <c r="F774" s="4"/>
      <c r="G774" s="2"/>
      <c r="H774" s="4"/>
      <c r="I774" s="4"/>
      <c r="J774" s="13"/>
      <c r="K774" s="2"/>
    </row>
    <row r="775" spans="1:11" x14ac:dyDescent="0.3">
      <c r="A775" s="10"/>
      <c r="B775" s="6"/>
      <c r="C775" s="4"/>
      <c r="D775" s="4"/>
      <c r="E775" s="4"/>
      <c r="F775" s="4"/>
      <c r="G775" s="2"/>
      <c r="H775" s="4"/>
      <c r="I775" s="4"/>
      <c r="J775" s="13"/>
      <c r="K775" s="2"/>
    </row>
    <row r="776" spans="1:11" x14ac:dyDescent="0.3">
      <c r="A776" s="10"/>
      <c r="B776" s="6"/>
      <c r="C776" s="4"/>
      <c r="D776" s="4"/>
      <c r="E776" s="4"/>
      <c r="F776" s="4"/>
      <c r="G776" s="2"/>
      <c r="H776" s="4"/>
      <c r="I776" s="4"/>
      <c r="J776" s="13"/>
      <c r="K776" s="2"/>
    </row>
    <row r="777" spans="1:11" x14ac:dyDescent="0.3">
      <c r="A777" s="10"/>
      <c r="B777" s="6"/>
      <c r="C777" s="4"/>
      <c r="D777" s="4"/>
      <c r="E777" s="4"/>
      <c r="F777" s="4"/>
      <c r="G777" s="2"/>
      <c r="H777" s="4"/>
      <c r="I777" s="4"/>
      <c r="J777" s="13"/>
      <c r="K777" s="2"/>
    </row>
    <row r="778" spans="1:11" x14ac:dyDescent="0.3">
      <c r="A778" s="10"/>
      <c r="B778" s="6"/>
      <c r="C778" s="4"/>
      <c r="D778" s="4"/>
      <c r="E778" s="4"/>
      <c r="F778" s="4"/>
      <c r="G778" s="2"/>
      <c r="H778" s="4"/>
      <c r="I778" s="4"/>
      <c r="J778" s="13"/>
      <c r="K778" s="2"/>
    </row>
    <row r="779" spans="1:11" x14ac:dyDescent="0.3">
      <c r="A779" s="10"/>
      <c r="B779" s="6"/>
      <c r="C779" s="4"/>
      <c r="D779" s="4"/>
      <c r="E779" s="4"/>
      <c r="F779" s="4"/>
      <c r="G779" s="2"/>
      <c r="H779" s="4"/>
      <c r="I779" s="4"/>
      <c r="J779" s="13"/>
      <c r="K779" s="2"/>
    </row>
    <row r="780" spans="1:11" x14ac:dyDescent="0.3">
      <c r="A780" s="10"/>
      <c r="B780" s="6"/>
      <c r="C780" s="4"/>
      <c r="D780" s="4"/>
      <c r="E780" s="4"/>
      <c r="F780" s="4"/>
      <c r="G780" s="2"/>
      <c r="H780" s="4"/>
      <c r="I780" s="4"/>
      <c r="J780" s="13"/>
      <c r="K780" s="2"/>
    </row>
    <row r="781" spans="1:11" x14ac:dyDescent="0.3">
      <c r="A781" s="10"/>
      <c r="B781" s="6"/>
      <c r="C781" s="4"/>
      <c r="D781" s="4"/>
      <c r="E781" s="4"/>
      <c r="F781" s="4"/>
      <c r="G781" s="2"/>
      <c r="H781" s="4"/>
      <c r="I781" s="4"/>
      <c r="J781" s="13"/>
      <c r="K781" s="2"/>
    </row>
    <row r="782" spans="1:11" x14ac:dyDescent="0.3">
      <c r="A782" s="10"/>
      <c r="B782" s="6"/>
      <c r="C782" s="4"/>
      <c r="D782" s="4"/>
      <c r="E782" s="4"/>
      <c r="F782" s="4"/>
      <c r="G782" s="2"/>
      <c r="H782" s="4"/>
      <c r="I782" s="4"/>
      <c r="J782" s="13"/>
      <c r="K782" s="2"/>
    </row>
    <row r="783" spans="1:11" x14ac:dyDescent="0.3">
      <c r="A783" s="10"/>
      <c r="B783" s="6"/>
      <c r="C783" s="4"/>
      <c r="D783" s="4"/>
      <c r="E783" s="4"/>
      <c r="F783" s="4"/>
      <c r="G783" s="2"/>
      <c r="H783" s="4"/>
      <c r="I783" s="4"/>
      <c r="J783" s="13"/>
      <c r="K783" s="2"/>
    </row>
    <row r="784" spans="1:11" x14ac:dyDescent="0.3">
      <c r="A784" s="10"/>
      <c r="B784" s="6"/>
      <c r="C784" s="4"/>
      <c r="D784" s="4"/>
      <c r="E784" s="4"/>
      <c r="F784" s="4"/>
      <c r="G784" s="2"/>
      <c r="H784" s="4"/>
      <c r="I784" s="4"/>
      <c r="J784" s="13"/>
      <c r="K784" s="2"/>
    </row>
    <row r="785" spans="1:11" x14ac:dyDescent="0.3">
      <c r="A785" s="10"/>
      <c r="B785" s="6"/>
      <c r="C785" s="4"/>
      <c r="D785" s="4"/>
      <c r="E785" s="4"/>
      <c r="F785" s="4"/>
      <c r="G785" s="2"/>
      <c r="H785" s="4"/>
      <c r="I785" s="4"/>
      <c r="J785" s="13"/>
      <c r="K785" s="2"/>
    </row>
    <row r="786" spans="1:11" x14ac:dyDescent="0.3">
      <c r="A786" s="10"/>
      <c r="B786" s="6"/>
      <c r="C786" s="4"/>
      <c r="D786" s="4"/>
      <c r="E786" s="4"/>
      <c r="F786" s="4"/>
      <c r="G786" s="2"/>
      <c r="H786" s="4"/>
      <c r="I786" s="4"/>
      <c r="J786" s="13"/>
      <c r="K786" s="2"/>
    </row>
    <row r="787" spans="1:11" x14ac:dyDescent="0.3">
      <c r="A787" s="10"/>
      <c r="B787" s="6"/>
      <c r="C787" s="4"/>
      <c r="D787" s="4"/>
      <c r="E787" s="4"/>
      <c r="F787" s="4"/>
      <c r="G787" s="2"/>
      <c r="H787" s="4"/>
      <c r="I787" s="4"/>
      <c r="J787" s="13"/>
      <c r="K787" s="2"/>
    </row>
    <row r="788" spans="1:11" x14ac:dyDescent="0.3">
      <c r="A788" s="10"/>
      <c r="B788" s="6"/>
      <c r="C788" s="4"/>
      <c r="D788" s="4"/>
      <c r="E788" s="4"/>
      <c r="F788" s="4"/>
      <c r="G788" s="2"/>
      <c r="H788" s="4"/>
      <c r="I788" s="4"/>
      <c r="J788" s="13"/>
      <c r="K788" s="2"/>
    </row>
    <row r="789" spans="1:11" x14ac:dyDescent="0.3">
      <c r="A789" s="10"/>
      <c r="B789" s="6"/>
      <c r="C789" s="4"/>
      <c r="D789" s="4"/>
      <c r="E789" s="4"/>
      <c r="F789" s="4"/>
      <c r="G789" s="2"/>
      <c r="H789" s="4"/>
      <c r="I789" s="4"/>
      <c r="J789" s="13"/>
      <c r="K789" s="2"/>
    </row>
    <row r="790" spans="1:11" x14ac:dyDescent="0.3">
      <c r="A790" s="10"/>
      <c r="B790" s="6"/>
      <c r="C790" s="4"/>
      <c r="D790" s="4"/>
      <c r="E790" s="4"/>
      <c r="F790" s="4"/>
      <c r="G790" s="2"/>
      <c r="H790" s="4"/>
      <c r="I790" s="4"/>
      <c r="J790" s="13"/>
      <c r="K790" s="2"/>
    </row>
    <row r="791" spans="1:11" x14ac:dyDescent="0.3">
      <c r="A791" s="10"/>
      <c r="B791" s="6"/>
      <c r="C791" s="4"/>
      <c r="D791" s="4"/>
      <c r="E791" s="4"/>
      <c r="F791" s="4"/>
      <c r="G791" s="2"/>
      <c r="H791" s="4"/>
      <c r="I791" s="4"/>
      <c r="J791" s="13"/>
      <c r="K791" s="2"/>
    </row>
    <row r="792" spans="1:11" x14ac:dyDescent="0.3">
      <c r="A792" s="10"/>
      <c r="B792" s="6"/>
      <c r="C792" s="4"/>
      <c r="D792" s="4"/>
      <c r="E792" s="4"/>
      <c r="F792" s="4"/>
      <c r="G792" s="2"/>
      <c r="H792" s="4"/>
      <c r="I792" s="4"/>
      <c r="J792" s="13"/>
      <c r="K792" s="2"/>
    </row>
    <row r="793" spans="1:11" x14ac:dyDescent="0.3">
      <c r="A793" s="10"/>
      <c r="B793" s="6"/>
      <c r="C793" s="4"/>
      <c r="D793" s="4"/>
      <c r="E793" s="4"/>
      <c r="F793" s="4"/>
      <c r="G793" s="2"/>
      <c r="H793" s="4"/>
      <c r="I793" s="4"/>
      <c r="J793" s="13"/>
      <c r="K793" s="2"/>
    </row>
    <row r="794" spans="1:11" x14ac:dyDescent="0.3">
      <c r="A794" s="10"/>
      <c r="B794" s="6"/>
      <c r="C794" s="4"/>
      <c r="D794" s="4"/>
      <c r="E794" s="4"/>
      <c r="F794" s="4"/>
      <c r="G794" s="2"/>
      <c r="H794" s="4"/>
      <c r="I794" s="4"/>
      <c r="J794" s="13"/>
      <c r="K794" s="2"/>
    </row>
    <row r="795" spans="1:11" x14ac:dyDescent="0.3">
      <c r="A795" s="10"/>
      <c r="B795" s="6"/>
      <c r="C795" s="4"/>
      <c r="D795" s="4"/>
      <c r="E795" s="4"/>
      <c r="F795" s="4"/>
      <c r="G795" s="2"/>
      <c r="H795" s="4"/>
      <c r="I795" s="4"/>
      <c r="J795" s="13"/>
      <c r="K795" s="2"/>
    </row>
    <row r="796" spans="1:11" x14ac:dyDescent="0.3">
      <c r="A796" s="10"/>
      <c r="B796" s="6"/>
      <c r="C796" s="4"/>
      <c r="D796" s="4"/>
      <c r="E796" s="4"/>
      <c r="F796" s="4"/>
      <c r="G796" s="2"/>
      <c r="H796" s="4"/>
      <c r="I796" s="4"/>
      <c r="J796" s="13"/>
      <c r="K796" s="2"/>
    </row>
    <row r="797" spans="1:11" x14ac:dyDescent="0.3">
      <c r="A797" s="10"/>
      <c r="B797" s="6"/>
      <c r="C797" s="4"/>
      <c r="D797" s="4"/>
      <c r="E797" s="4"/>
      <c r="F797" s="4"/>
      <c r="G797" s="2"/>
      <c r="H797" s="4"/>
      <c r="I797" s="4"/>
      <c r="J797" s="13"/>
      <c r="K797" s="2"/>
    </row>
    <row r="798" spans="1:11" x14ac:dyDescent="0.3">
      <c r="A798" s="10"/>
      <c r="B798" s="6"/>
      <c r="C798" s="4"/>
      <c r="D798" s="4"/>
      <c r="E798" s="4"/>
      <c r="F798" s="4"/>
      <c r="G798" s="2"/>
      <c r="H798" s="4"/>
      <c r="I798" s="4"/>
      <c r="J798" s="13"/>
      <c r="K798" s="2"/>
    </row>
    <row r="799" spans="1:11" x14ac:dyDescent="0.3">
      <c r="A799" s="10"/>
      <c r="B799" s="6"/>
      <c r="C799" s="4"/>
      <c r="D799" s="4"/>
      <c r="E799" s="4"/>
      <c r="F799" s="4"/>
      <c r="G799" s="2"/>
      <c r="H799" s="4"/>
      <c r="I799" s="4"/>
      <c r="J799" s="13"/>
      <c r="K799" s="2"/>
    </row>
    <row r="800" spans="1:11" x14ac:dyDescent="0.3">
      <c r="A800" s="10"/>
      <c r="B800" s="6"/>
      <c r="C800" s="4"/>
      <c r="D800" s="4"/>
      <c r="E800" s="4"/>
      <c r="F800" s="4"/>
      <c r="G800" s="2"/>
      <c r="H800" s="4"/>
      <c r="I800" s="4"/>
      <c r="J800" s="13"/>
      <c r="K800" s="2"/>
    </row>
    <row r="801" spans="1:11" x14ac:dyDescent="0.3">
      <c r="A801" s="10"/>
      <c r="B801" s="6"/>
      <c r="C801" s="4"/>
      <c r="D801" s="4"/>
      <c r="E801" s="4"/>
      <c r="F801" s="4"/>
      <c r="G801" s="2"/>
      <c r="H801" s="4"/>
      <c r="I801" s="4"/>
      <c r="J801" s="13"/>
      <c r="K801" s="2"/>
    </row>
    <row r="802" spans="1:11" x14ac:dyDescent="0.3">
      <c r="A802" s="10"/>
      <c r="B802" s="6"/>
      <c r="C802" s="4"/>
      <c r="D802" s="4"/>
      <c r="E802" s="4"/>
      <c r="F802" s="4"/>
      <c r="G802" s="2"/>
      <c r="H802" s="4"/>
      <c r="I802" s="4"/>
      <c r="J802" s="13"/>
      <c r="K802" s="2"/>
    </row>
    <row r="803" spans="1:11" x14ac:dyDescent="0.3">
      <c r="A803" s="10"/>
      <c r="B803" s="6"/>
      <c r="C803" s="4"/>
      <c r="D803" s="4"/>
      <c r="E803" s="4"/>
      <c r="F803" s="4"/>
      <c r="G803" s="2"/>
      <c r="H803" s="4"/>
      <c r="I803" s="4"/>
      <c r="J803" s="13"/>
      <c r="K803" s="2"/>
    </row>
    <row r="804" spans="1:11" x14ac:dyDescent="0.3">
      <c r="A804" s="10"/>
      <c r="B804" s="6"/>
      <c r="C804" s="4"/>
      <c r="D804" s="4"/>
      <c r="E804" s="4"/>
      <c r="F804" s="4"/>
      <c r="G804" s="2"/>
      <c r="H804" s="4"/>
      <c r="I804" s="4"/>
      <c r="J804" s="13"/>
      <c r="K804" s="2"/>
    </row>
    <row r="805" spans="1:11" x14ac:dyDescent="0.3">
      <c r="A805" s="10"/>
      <c r="B805" s="6"/>
      <c r="C805" s="4"/>
      <c r="D805" s="4"/>
      <c r="E805" s="4"/>
      <c r="F805" s="4"/>
      <c r="G805" s="2"/>
      <c r="H805" s="4"/>
      <c r="I805" s="4"/>
      <c r="J805" s="13"/>
      <c r="K805" s="2"/>
    </row>
    <row r="806" spans="1:11" x14ac:dyDescent="0.3">
      <c r="A806" s="10"/>
      <c r="B806" s="6"/>
      <c r="C806" s="4"/>
      <c r="D806" s="4"/>
      <c r="E806" s="4"/>
      <c r="F806" s="4"/>
      <c r="G806" s="2"/>
      <c r="H806" s="4"/>
      <c r="I806" s="4"/>
      <c r="J806" s="13"/>
      <c r="K806" s="2"/>
    </row>
    <row r="807" spans="1:11" x14ac:dyDescent="0.3">
      <c r="A807" s="10"/>
      <c r="B807" s="6"/>
      <c r="C807" s="4"/>
      <c r="D807" s="4"/>
      <c r="E807" s="4"/>
      <c r="F807" s="4"/>
      <c r="G807" s="2"/>
      <c r="H807" s="4"/>
      <c r="I807" s="4"/>
      <c r="J807" s="13"/>
      <c r="K807" s="2"/>
    </row>
    <row r="808" spans="1:11" x14ac:dyDescent="0.3">
      <c r="A808" s="10"/>
      <c r="B808" s="6"/>
      <c r="C808" s="4"/>
      <c r="D808" s="4"/>
      <c r="E808" s="4"/>
      <c r="F808" s="4"/>
      <c r="G808" s="2"/>
      <c r="H808" s="4"/>
      <c r="I808" s="4"/>
      <c r="J808" s="13"/>
      <c r="K808" s="2"/>
    </row>
    <row r="809" spans="1:11" x14ac:dyDescent="0.3">
      <c r="A809" s="10"/>
      <c r="B809" s="6"/>
      <c r="C809" s="4"/>
      <c r="D809" s="4"/>
      <c r="E809" s="4"/>
      <c r="F809" s="4"/>
      <c r="G809" s="2"/>
      <c r="H809" s="4"/>
      <c r="I809" s="4"/>
      <c r="J809" s="13"/>
      <c r="K809" s="2"/>
    </row>
    <row r="810" spans="1:11" x14ac:dyDescent="0.3">
      <c r="A810" s="10"/>
      <c r="B810" s="6"/>
      <c r="C810" s="4"/>
      <c r="D810" s="4"/>
      <c r="E810" s="4"/>
      <c r="F810" s="4"/>
      <c r="G810" s="2"/>
      <c r="H810" s="4"/>
      <c r="I810" s="4"/>
      <c r="J810" s="13"/>
      <c r="K810" s="2"/>
    </row>
    <row r="811" spans="1:11" x14ac:dyDescent="0.3">
      <c r="A811" s="10"/>
      <c r="B811" s="6"/>
      <c r="C811" s="4"/>
      <c r="D811" s="4"/>
      <c r="E811" s="4"/>
      <c r="F811" s="4"/>
      <c r="G811" s="2"/>
      <c r="H811" s="4"/>
      <c r="I811" s="4"/>
      <c r="J811" s="13"/>
      <c r="K811" s="2"/>
    </row>
    <row r="812" spans="1:11" x14ac:dyDescent="0.3">
      <c r="A812" s="10"/>
      <c r="B812" s="6"/>
      <c r="C812" s="4"/>
      <c r="D812" s="4"/>
      <c r="E812" s="4"/>
      <c r="F812" s="4"/>
      <c r="G812" s="2"/>
      <c r="H812" s="4"/>
      <c r="I812" s="4"/>
      <c r="J812" s="13"/>
      <c r="K812" s="2"/>
    </row>
    <row r="813" spans="1:11" x14ac:dyDescent="0.3">
      <c r="A813" s="10"/>
      <c r="B813" s="6"/>
      <c r="C813" s="4"/>
      <c r="D813" s="4"/>
      <c r="E813" s="4"/>
      <c r="F813" s="4"/>
      <c r="G813" s="2"/>
      <c r="H813" s="4"/>
      <c r="I813" s="4"/>
      <c r="J813" s="13"/>
      <c r="K813" s="2"/>
    </row>
    <row r="814" spans="1:11" x14ac:dyDescent="0.3">
      <c r="A814" s="10"/>
      <c r="B814" s="6"/>
      <c r="C814" s="4"/>
      <c r="D814" s="4"/>
      <c r="E814" s="4"/>
      <c r="F814" s="4"/>
      <c r="G814" s="2"/>
      <c r="H814" s="4"/>
      <c r="I814" s="4"/>
      <c r="J814" s="13"/>
      <c r="K814" s="2"/>
    </row>
    <row r="815" spans="1:11" x14ac:dyDescent="0.3">
      <c r="A815" s="10"/>
      <c r="B815" s="6"/>
      <c r="C815" s="4"/>
      <c r="D815" s="4"/>
      <c r="E815" s="4"/>
      <c r="F815" s="4"/>
      <c r="G815" s="2"/>
      <c r="H815" s="4"/>
      <c r="I815" s="4"/>
      <c r="J815" s="13"/>
      <c r="K815" s="2"/>
    </row>
    <row r="816" spans="1:11" x14ac:dyDescent="0.3">
      <c r="A816" s="10"/>
      <c r="B816" s="6"/>
      <c r="C816" s="4"/>
      <c r="D816" s="4"/>
      <c r="E816" s="4"/>
      <c r="F816" s="4"/>
      <c r="G816" s="2"/>
      <c r="H816" s="4"/>
      <c r="I816" s="4"/>
      <c r="J816" s="13"/>
      <c r="K816" s="2"/>
    </row>
    <row r="817" spans="1:11" x14ac:dyDescent="0.3">
      <c r="A817" s="10"/>
      <c r="B817" s="6"/>
      <c r="C817" s="4"/>
      <c r="D817" s="4"/>
      <c r="E817" s="4"/>
      <c r="F817" s="4"/>
      <c r="G817" s="2"/>
      <c r="H817" s="4"/>
      <c r="I817" s="4"/>
      <c r="J817" s="13"/>
      <c r="K817" s="2"/>
    </row>
    <row r="818" spans="1:11" x14ac:dyDescent="0.3">
      <c r="A818" s="10"/>
      <c r="B818" s="6"/>
      <c r="C818" s="4"/>
      <c r="D818" s="4"/>
      <c r="E818" s="4"/>
      <c r="F818" s="4"/>
      <c r="G818" s="2"/>
      <c r="H818" s="4"/>
      <c r="I818" s="4"/>
      <c r="J818" s="13"/>
      <c r="K818" s="2"/>
    </row>
    <row r="819" spans="1:11" x14ac:dyDescent="0.3">
      <c r="A819" s="10"/>
      <c r="B819" s="6"/>
      <c r="C819" s="4"/>
      <c r="D819" s="4"/>
      <c r="E819" s="4"/>
      <c r="F819" s="4"/>
      <c r="G819" s="2"/>
      <c r="H819" s="4"/>
      <c r="I819" s="4"/>
      <c r="J819" s="13"/>
      <c r="K819" s="2"/>
    </row>
    <row r="820" spans="1:11" x14ac:dyDescent="0.3">
      <c r="A820" s="10"/>
      <c r="B820" s="6"/>
      <c r="C820" s="4"/>
      <c r="D820" s="4"/>
      <c r="E820" s="4"/>
      <c r="F820" s="4"/>
      <c r="G820" s="2"/>
      <c r="H820" s="4"/>
      <c r="I820" s="4"/>
      <c r="J820" s="13"/>
      <c r="K820" s="2"/>
    </row>
    <row r="821" spans="1:11" x14ac:dyDescent="0.3">
      <c r="A821" s="10"/>
      <c r="B821" s="6"/>
      <c r="C821" s="4"/>
      <c r="D821" s="4"/>
      <c r="E821" s="4"/>
      <c r="F821" s="4"/>
      <c r="G821" s="2"/>
      <c r="H821" s="4"/>
      <c r="I821" s="4"/>
      <c r="J821" s="13"/>
      <c r="K821" s="2"/>
    </row>
    <row r="822" spans="1:11" x14ac:dyDescent="0.3">
      <c r="A822" s="10"/>
      <c r="B822" s="6"/>
      <c r="C822" s="4"/>
      <c r="D822" s="4"/>
      <c r="E822" s="4"/>
      <c r="F822" s="4"/>
      <c r="G822" s="2"/>
      <c r="H822" s="4"/>
      <c r="I822" s="4"/>
      <c r="J822" s="13"/>
      <c r="K822" s="2"/>
    </row>
    <row r="823" spans="1:11" x14ac:dyDescent="0.3">
      <c r="A823" s="10"/>
      <c r="B823" s="6"/>
      <c r="C823" s="4"/>
      <c r="D823" s="4"/>
      <c r="E823" s="4"/>
      <c r="F823" s="4"/>
      <c r="G823" s="2"/>
      <c r="H823" s="4"/>
      <c r="I823" s="4"/>
      <c r="J823" s="13"/>
      <c r="K823" s="2"/>
    </row>
    <row r="824" spans="1:11" x14ac:dyDescent="0.3">
      <c r="A824" s="10"/>
      <c r="B824" s="6"/>
      <c r="C824" s="4"/>
      <c r="D824" s="4"/>
      <c r="E824" s="4"/>
      <c r="F824" s="4"/>
      <c r="G824" s="2"/>
      <c r="H824" s="4"/>
      <c r="I824" s="4"/>
      <c r="J824" s="13"/>
      <c r="K824" s="2"/>
    </row>
    <row r="825" spans="1:11" x14ac:dyDescent="0.3">
      <c r="A825" s="10"/>
      <c r="B825" s="6"/>
      <c r="C825" s="4"/>
      <c r="D825" s="4"/>
      <c r="E825" s="4"/>
      <c r="F825" s="4"/>
      <c r="G825" s="2"/>
      <c r="H825" s="4"/>
      <c r="I825" s="4"/>
      <c r="J825" s="13"/>
      <c r="K825" s="2"/>
    </row>
    <row r="826" spans="1:11" x14ac:dyDescent="0.3">
      <c r="A826" s="10"/>
      <c r="B826" s="6"/>
      <c r="C826" s="4"/>
      <c r="D826" s="4"/>
      <c r="E826" s="4"/>
      <c r="F826" s="4"/>
      <c r="G826" s="2"/>
      <c r="H826" s="4"/>
      <c r="I826" s="4"/>
      <c r="J826" s="13"/>
      <c r="K826" s="2"/>
    </row>
    <row r="827" spans="1:11" x14ac:dyDescent="0.3">
      <c r="A827" s="10"/>
      <c r="B827" s="6"/>
      <c r="C827" s="4"/>
      <c r="D827" s="4"/>
      <c r="E827" s="4"/>
      <c r="F827" s="4"/>
      <c r="G827" s="2"/>
      <c r="H827" s="4"/>
      <c r="I827" s="4"/>
      <c r="J827" s="13"/>
      <c r="K827" s="2"/>
    </row>
    <row r="828" spans="1:11" x14ac:dyDescent="0.3">
      <c r="A828" s="10"/>
      <c r="B828" s="6"/>
      <c r="C828" s="4"/>
      <c r="D828" s="4"/>
      <c r="E828" s="4"/>
      <c r="F828" s="4"/>
      <c r="G828" s="2"/>
      <c r="H828" s="4"/>
      <c r="I828" s="4"/>
      <c r="J828" s="13"/>
      <c r="K828" s="2"/>
    </row>
    <row r="829" spans="1:11" x14ac:dyDescent="0.3">
      <c r="A829" s="10"/>
      <c r="B829" s="6"/>
      <c r="C829" s="4"/>
      <c r="D829" s="4"/>
      <c r="E829" s="4"/>
      <c r="F829" s="4"/>
      <c r="G829" s="2"/>
      <c r="H829" s="4"/>
      <c r="I829" s="4"/>
      <c r="J829" s="13"/>
      <c r="K829" s="2"/>
    </row>
    <row r="830" spans="1:11" x14ac:dyDescent="0.3">
      <c r="A830" s="10"/>
      <c r="B830" s="6"/>
      <c r="C830" s="4"/>
      <c r="D830" s="4"/>
      <c r="E830" s="4"/>
      <c r="F830" s="4"/>
      <c r="G830" s="2"/>
      <c r="H830" s="4"/>
      <c r="I830" s="4"/>
      <c r="J830" s="13"/>
      <c r="K830" s="2"/>
    </row>
    <row r="831" spans="1:11" x14ac:dyDescent="0.3">
      <c r="A831" s="10"/>
      <c r="B831" s="6"/>
      <c r="C831" s="4"/>
      <c r="D831" s="4"/>
      <c r="E831" s="4"/>
      <c r="F831" s="4"/>
      <c r="G831" s="2"/>
      <c r="H831" s="4"/>
      <c r="I831" s="4"/>
      <c r="J831" s="13"/>
      <c r="K831" s="2"/>
    </row>
    <row r="832" spans="1:11" x14ac:dyDescent="0.3">
      <c r="A832" s="10"/>
      <c r="B832" s="6"/>
      <c r="C832" s="4"/>
      <c r="D832" s="4"/>
      <c r="E832" s="4"/>
      <c r="F832" s="4"/>
      <c r="G832" s="2"/>
      <c r="H832" s="4"/>
      <c r="I832" s="4"/>
      <c r="J832" s="13"/>
      <c r="K832" s="2"/>
    </row>
    <row r="833" spans="1:11" x14ac:dyDescent="0.3">
      <c r="A833" s="10"/>
      <c r="B833" s="6"/>
      <c r="C833" s="4"/>
      <c r="D833" s="4"/>
      <c r="E833" s="4"/>
      <c r="F833" s="4"/>
      <c r="G833" s="2"/>
      <c r="H833" s="4"/>
      <c r="I833" s="4"/>
      <c r="J833" s="13"/>
      <c r="K833" s="2"/>
    </row>
    <row r="834" spans="1:11" x14ac:dyDescent="0.3">
      <c r="A834" s="10"/>
      <c r="B834" s="6"/>
      <c r="C834" s="4"/>
      <c r="D834" s="4"/>
      <c r="E834" s="4"/>
      <c r="F834" s="4"/>
      <c r="G834" s="2"/>
      <c r="H834" s="4"/>
      <c r="I834" s="4"/>
      <c r="J834" s="13"/>
      <c r="K834" s="2"/>
    </row>
    <row r="835" spans="1:11" x14ac:dyDescent="0.3">
      <c r="A835" s="10"/>
      <c r="B835" s="6"/>
      <c r="C835" s="4"/>
      <c r="D835" s="4"/>
      <c r="E835" s="4"/>
      <c r="F835" s="4"/>
      <c r="G835" s="2"/>
      <c r="H835" s="4"/>
      <c r="I835" s="4"/>
      <c r="J835" s="13"/>
      <c r="K835" s="2"/>
    </row>
    <row r="836" spans="1:11" x14ac:dyDescent="0.3">
      <c r="A836" s="10"/>
      <c r="B836" s="6"/>
      <c r="C836" s="4"/>
      <c r="D836" s="4"/>
      <c r="E836" s="4"/>
      <c r="F836" s="4"/>
      <c r="G836" s="2"/>
      <c r="H836" s="4"/>
      <c r="I836" s="4"/>
      <c r="J836" s="13"/>
      <c r="K836" s="2"/>
    </row>
    <row r="837" spans="1:11" x14ac:dyDescent="0.3">
      <c r="A837" s="10"/>
      <c r="B837" s="6"/>
      <c r="C837" s="4"/>
      <c r="D837" s="4"/>
      <c r="E837" s="4"/>
      <c r="F837" s="4"/>
      <c r="G837" s="2"/>
      <c r="H837" s="4"/>
      <c r="I837" s="4"/>
      <c r="J837" s="13"/>
      <c r="K837" s="2"/>
    </row>
    <row r="838" spans="1:11" x14ac:dyDescent="0.3">
      <c r="A838" s="10"/>
      <c r="B838" s="6"/>
      <c r="C838" s="4"/>
      <c r="D838" s="4"/>
      <c r="E838" s="4"/>
      <c r="F838" s="4"/>
      <c r="G838" s="2"/>
      <c r="H838" s="4"/>
      <c r="I838" s="4"/>
      <c r="J838" s="13"/>
      <c r="K838" s="2"/>
    </row>
    <row r="839" spans="1:11" x14ac:dyDescent="0.3">
      <c r="A839" s="10"/>
      <c r="B839" s="6"/>
      <c r="C839" s="4"/>
      <c r="D839" s="4"/>
      <c r="E839" s="4"/>
      <c r="F839" s="4"/>
      <c r="G839" s="2"/>
      <c r="H839" s="4"/>
      <c r="I839" s="4"/>
      <c r="J839" s="13"/>
      <c r="K839" s="2"/>
    </row>
    <row r="840" spans="1:11" x14ac:dyDescent="0.3">
      <c r="A840" s="10"/>
      <c r="B840" s="6"/>
      <c r="C840" s="4"/>
      <c r="D840" s="4"/>
      <c r="E840" s="4"/>
      <c r="F840" s="4"/>
      <c r="G840" s="2"/>
      <c r="H840" s="4"/>
      <c r="I840" s="4"/>
      <c r="J840" s="13"/>
      <c r="K840" s="2"/>
    </row>
    <row r="841" spans="1:11" x14ac:dyDescent="0.3">
      <c r="A841" s="10"/>
      <c r="B841" s="6"/>
      <c r="C841" s="4"/>
      <c r="D841" s="4"/>
      <c r="E841" s="4"/>
      <c r="F841" s="4"/>
      <c r="G841" s="2"/>
      <c r="H841" s="4"/>
      <c r="I841" s="4"/>
      <c r="J841" s="13"/>
      <c r="K841" s="2"/>
    </row>
    <row r="842" spans="1:11" x14ac:dyDescent="0.3">
      <c r="A842" s="10"/>
      <c r="B842" s="6"/>
      <c r="C842" s="4"/>
      <c r="D842" s="4"/>
      <c r="E842" s="4"/>
      <c r="F842" s="4"/>
      <c r="G842" s="2"/>
      <c r="H842" s="4"/>
      <c r="I842" s="4"/>
      <c r="J842" s="13"/>
      <c r="K842" s="2"/>
    </row>
    <row r="843" spans="1:11" x14ac:dyDescent="0.3">
      <c r="A843" s="10"/>
      <c r="B843" s="6"/>
      <c r="C843" s="4"/>
      <c r="D843" s="4"/>
      <c r="E843" s="4"/>
      <c r="F843" s="4"/>
      <c r="G843" s="2"/>
      <c r="H843" s="4"/>
      <c r="I843" s="4"/>
      <c r="J843" s="13"/>
      <c r="K843" s="2"/>
    </row>
    <row r="844" spans="1:11" x14ac:dyDescent="0.3">
      <c r="A844" s="10"/>
      <c r="B844" s="6"/>
      <c r="C844" s="4"/>
      <c r="D844" s="4"/>
      <c r="E844" s="4"/>
      <c r="F844" s="4"/>
      <c r="G844" s="2"/>
      <c r="H844" s="4"/>
      <c r="I844" s="4"/>
      <c r="J844" s="13"/>
      <c r="K844" s="2"/>
    </row>
    <row r="845" spans="1:11" x14ac:dyDescent="0.3">
      <c r="A845" s="10"/>
      <c r="B845" s="6"/>
      <c r="C845" s="4"/>
      <c r="D845" s="4"/>
      <c r="E845" s="4"/>
      <c r="F845" s="4"/>
      <c r="G845" s="2"/>
      <c r="H845" s="4"/>
      <c r="I845" s="4"/>
      <c r="J845" s="13"/>
      <c r="K845" s="2"/>
    </row>
    <row r="846" spans="1:11" x14ac:dyDescent="0.3">
      <c r="A846" s="10"/>
      <c r="B846" s="6"/>
      <c r="C846" s="4"/>
      <c r="D846" s="4"/>
      <c r="E846" s="4"/>
      <c r="F846" s="4"/>
      <c r="G846" s="2"/>
      <c r="H846" s="4"/>
      <c r="I846" s="4"/>
      <c r="J846" s="13"/>
      <c r="K846" s="2"/>
    </row>
    <row r="847" spans="1:11" x14ac:dyDescent="0.3">
      <c r="A847" s="10"/>
      <c r="B847" s="6"/>
      <c r="C847" s="4"/>
      <c r="D847" s="4"/>
      <c r="E847" s="4"/>
      <c r="F847" s="4"/>
      <c r="G847" s="2"/>
      <c r="H847" s="4"/>
      <c r="I847" s="4"/>
      <c r="J847" s="13"/>
      <c r="K847" s="2"/>
    </row>
    <row r="848" spans="1:11" x14ac:dyDescent="0.3">
      <c r="A848" s="10"/>
      <c r="B848" s="6"/>
      <c r="C848" s="4"/>
      <c r="D848" s="4"/>
      <c r="E848" s="4"/>
      <c r="F848" s="4"/>
      <c r="G848" s="2"/>
      <c r="H848" s="4"/>
      <c r="I848" s="4"/>
      <c r="J848" s="13"/>
      <c r="K848" s="2"/>
    </row>
    <row r="849" spans="1:11" x14ac:dyDescent="0.3">
      <c r="A849" s="10"/>
      <c r="B849" s="6"/>
      <c r="C849" s="4"/>
      <c r="D849" s="4"/>
      <c r="E849" s="4"/>
      <c r="F849" s="4"/>
      <c r="G849" s="2"/>
      <c r="H849" s="4"/>
      <c r="I849" s="4"/>
      <c r="J849" s="13"/>
      <c r="K849" s="2"/>
    </row>
    <row r="850" spans="1:11" x14ac:dyDescent="0.3">
      <c r="A850" s="10"/>
      <c r="B850" s="6"/>
      <c r="C850" s="4"/>
      <c r="D850" s="4"/>
      <c r="E850" s="4"/>
      <c r="F850" s="4"/>
      <c r="G850" s="2"/>
      <c r="H850" s="4"/>
      <c r="I850" s="4"/>
      <c r="J850" s="13"/>
      <c r="K850" s="2"/>
    </row>
    <row r="851" spans="1:11" x14ac:dyDescent="0.3">
      <c r="A851" s="10"/>
      <c r="B851" s="6"/>
      <c r="C851" s="4"/>
      <c r="D851" s="4"/>
      <c r="E851" s="4"/>
      <c r="F851" s="4"/>
      <c r="G851" s="2"/>
      <c r="H851" s="4"/>
      <c r="I851" s="4"/>
      <c r="J851" s="13"/>
      <c r="K851" s="2"/>
    </row>
    <row r="852" spans="1:11" x14ac:dyDescent="0.3">
      <c r="A852" s="10"/>
      <c r="B852" s="6"/>
      <c r="C852" s="4"/>
      <c r="D852" s="4"/>
      <c r="E852" s="4"/>
      <c r="F852" s="4"/>
      <c r="G852" s="2"/>
      <c r="H852" s="4"/>
      <c r="I852" s="4"/>
      <c r="J852" s="13"/>
      <c r="K852" s="2"/>
    </row>
    <row r="853" spans="1:11" x14ac:dyDescent="0.3">
      <c r="A853" s="10"/>
      <c r="B853" s="6"/>
      <c r="C853" s="4"/>
      <c r="D853" s="4"/>
      <c r="E853" s="4"/>
      <c r="F853" s="4"/>
      <c r="G853" s="2"/>
      <c r="H853" s="4"/>
      <c r="I853" s="4"/>
      <c r="J853" s="13"/>
      <c r="K853" s="2"/>
    </row>
    <row r="854" spans="1:11" x14ac:dyDescent="0.3">
      <c r="A854" s="10"/>
      <c r="B854" s="6"/>
      <c r="C854" s="4"/>
      <c r="D854" s="4"/>
      <c r="E854" s="4"/>
      <c r="F854" s="4"/>
      <c r="G854" s="2"/>
      <c r="H854" s="4"/>
      <c r="I854" s="4"/>
      <c r="J854" s="13"/>
      <c r="K854" s="2"/>
    </row>
    <row r="855" spans="1:11" x14ac:dyDescent="0.3">
      <c r="A855" s="10"/>
      <c r="B855" s="6"/>
      <c r="C855" s="4"/>
      <c r="D855" s="4"/>
      <c r="E855" s="4"/>
      <c r="F855" s="4"/>
      <c r="G855" s="2"/>
      <c r="H855" s="4"/>
      <c r="I855" s="4"/>
      <c r="J855" s="13"/>
      <c r="K855" s="2"/>
    </row>
    <row r="856" spans="1:11" x14ac:dyDescent="0.3">
      <c r="A856" s="10"/>
      <c r="B856" s="6"/>
      <c r="C856" s="4"/>
      <c r="D856" s="4"/>
      <c r="E856" s="4"/>
      <c r="F856" s="4"/>
      <c r="G856" s="2"/>
      <c r="H856" s="4"/>
      <c r="I856" s="4"/>
      <c r="J856" s="13"/>
      <c r="K856" s="2"/>
    </row>
    <row r="857" spans="1:11" x14ac:dyDescent="0.3">
      <c r="A857" s="10"/>
      <c r="B857" s="6"/>
      <c r="C857" s="4"/>
      <c r="D857" s="4"/>
      <c r="E857" s="4"/>
      <c r="F857" s="4"/>
      <c r="G857" s="2"/>
      <c r="H857" s="4"/>
      <c r="I857" s="4"/>
      <c r="J857" s="13"/>
      <c r="K857" s="2"/>
    </row>
    <row r="858" spans="1:11" x14ac:dyDescent="0.3">
      <c r="A858" s="10"/>
      <c r="B858" s="6"/>
      <c r="C858" s="4"/>
      <c r="D858" s="4"/>
      <c r="E858" s="4"/>
      <c r="F858" s="4"/>
      <c r="G858" s="2"/>
      <c r="H858" s="4"/>
      <c r="I858" s="4"/>
      <c r="J858" s="13"/>
      <c r="K858" s="2"/>
    </row>
    <row r="859" spans="1:11" x14ac:dyDescent="0.3">
      <c r="A859" s="10"/>
      <c r="B859" s="6"/>
      <c r="C859" s="4"/>
      <c r="D859" s="4"/>
      <c r="E859" s="4"/>
      <c r="F859" s="4"/>
      <c r="G859" s="2"/>
      <c r="H859" s="4"/>
      <c r="I859" s="4"/>
      <c r="J859" s="13"/>
      <c r="K859" s="2"/>
    </row>
    <row r="860" spans="1:11" x14ac:dyDescent="0.3">
      <c r="A860" s="10"/>
      <c r="B860" s="6"/>
      <c r="C860" s="4"/>
      <c r="D860" s="4"/>
      <c r="E860" s="4"/>
      <c r="F860" s="4"/>
      <c r="G860" s="2"/>
      <c r="H860" s="4"/>
      <c r="I860" s="4"/>
      <c r="J860" s="13"/>
      <c r="K860" s="2"/>
    </row>
    <row r="861" spans="1:11" x14ac:dyDescent="0.3">
      <c r="A861" s="10"/>
      <c r="B861" s="6"/>
      <c r="C861" s="4"/>
      <c r="D861" s="4"/>
      <c r="E861" s="4"/>
      <c r="F861" s="4"/>
      <c r="G861" s="2"/>
      <c r="H861" s="4"/>
      <c r="I861" s="4"/>
      <c r="J861" s="13"/>
      <c r="K861" s="2"/>
    </row>
    <row r="862" spans="1:11" x14ac:dyDescent="0.3">
      <c r="A862" s="10"/>
      <c r="B862" s="6"/>
      <c r="C862" s="4"/>
      <c r="D862" s="4"/>
      <c r="E862" s="4"/>
      <c r="F862" s="4"/>
      <c r="G862" s="2"/>
      <c r="H862" s="4"/>
      <c r="I862" s="4"/>
      <c r="J862" s="13"/>
      <c r="K862" s="2"/>
    </row>
    <row r="863" spans="1:11" x14ac:dyDescent="0.3">
      <c r="A863" s="10"/>
      <c r="B863" s="6"/>
      <c r="C863" s="4"/>
      <c r="D863" s="4"/>
      <c r="E863" s="4"/>
      <c r="F863" s="4"/>
      <c r="G863" s="2"/>
      <c r="H863" s="4"/>
      <c r="I863" s="4"/>
      <c r="J863" s="13"/>
      <c r="K863" s="2"/>
    </row>
    <row r="864" spans="1:11" x14ac:dyDescent="0.3">
      <c r="A864" s="10"/>
      <c r="B864" s="6"/>
      <c r="C864" s="4"/>
      <c r="D864" s="4"/>
      <c r="E864" s="4"/>
      <c r="F864" s="4"/>
      <c r="G864" s="2"/>
      <c r="H864" s="4"/>
      <c r="I864" s="4"/>
      <c r="J864" s="13"/>
      <c r="K864" s="2"/>
    </row>
    <row r="865" spans="1:11" x14ac:dyDescent="0.3">
      <c r="A865" s="10"/>
      <c r="B865" s="6"/>
      <c r="C865" s="4"/>
      <c r="D865" s="4"/>
      <c r="E865" s="4"/>
      <c r="F865" s="4"/>
      <c r="G865" s="2"/>
      <c r="H865" s="4"/>
      <c r="I865" s="4"/>
      <c r="J865" s="13"/>
      <c r="K865" s="2"/>
    </row>
    <row r="866" spans="1:11" x14ac:dyDescent="0.3">
      <c r="A866" s="10"/>
      <c r="B866" s="6"/>
      <c r="C866" s="4"/>
      <c r="D866" s="4"/>
      <c r="E866" s="4"/>
      <c r="F866" s="4"/>
      <c r="G866" s="2"/>
      <c r="H866" s="4"/>
      <c r="I866" s="4"/>
      <c r="J866" s="13"/>
      <c r="K866" s="2"/>
    </row>
    <row r="867" spans="1:11" x14ac:dyDescent="0.3">
      <c r="A867" s="10"/>
      <c r="B867" s="6"/>
      <c r="C867" s="4"/>
      <c r="D867" s="4"/>
      <c r="E867" s="4"/>
      <c r="F867" s="4"/>
      <c r="G867" s="2"/>
      <c r="H867" s="4"/>
      <c r="I867" s="4"/>
      <c r="J867" s="13"/>
      <c r="K867" s="2"/>
    </row>
    <row r="868" spans="1:11" x14ac:dyDescent="0.3">
      <c r="A868" s="10"/>
      <c r="B868" s="6"/>
      <c r="C868" s="4"/>
      <c r="D868" s="4"/>
      <c r="E868" s="4"/>
      <c r="F868" s="4"/>
      <c r="G868" s="2"/>
      <c r="H868" s="4"/>
      <c r="I868" s="4"/>
      <c r="J868" s="13"/>
      <c r="K868" s="2"/>
    </row>
    <row r="869" spans="1:11" x14ac:dyDescent="0.3">
      <c r="A869" s="10"/>
      <c r="B869" s="6"/>
      <c r="C869" s="4"/>
      <c r="D869" s="4"/>
      <c r="E869" s="4"/>
      <c r="F869" s="4"/>
      <c r="G869" s="2"/>
      <c r="H869" s="4"/>
      <c r="I869" s="4"/>
      <c r="J869" s="13"/>
      <c r="K869" s="2"/>
    </row>
    <row r="870" spans="1:11" x14ac:dyDescent="0.3">
      <c r="A870" s="10"/>
      <c r="B870" s="6"/>
      <c r="C870" s="4"/>
      <c r="D870" s="4"/>
      <c r="E870" s="4"/>
      <c r="F870" s="4"/>
      <c r="G870" s="2"/>
      <c r="H870" s="4"/>
      <c r="I870" s="4"/>
      <c r="J870" s="13"/>
      <c r="K870" s="2"/>
    </row>
    <row r="871" spans="1:11" x14ac:dyDescent="0.3">
      <c r="A871" s="10"/>
      <c r="B871" s="6"/>
      <c r="C871" s="4"/>
      <c r="D871" s="4"/>
      <c r="E871" s="4"/>
      <c r="F871" s="4"/>
      <c r="G871" s="2"/>
      <c r="H871" s="4"/>
      <c r="I871" s="4"/>
      <c r="J871" s="13"/>
      <c r="K871" s="2"/>
    </row>
    <row r="872" spans="1:11" x14ac:dyDescent="0.3">
      <c r="A872" s="10"/>
      <c r="B872" s="6"/>
      <c r="C872" s="4"/>
      <c r="D872" s="4"/>
      <c r="E872" s="4"/>
      <c r="F872" s="4"/>
      <c r="G872" s="2"/>
      <c r="H872" s="4"/>
      <c r="I872" s="4"/>
      <c r="J872" s="13"/>
      <c r="K872" s="2"/>
    </row>
    <row r="873" spans="1:11" x14ac:dyDescent="0.3">
      <c r="A873" s="10"/>
      <c r="B873" s="6"/>
      <c r="C873" s="4"/>
      <c r="D873" s="4"/>
      <c r="E873" s="4"/>
      <c r="F873" s="4"/>
      <c r="G873" s="2"/>
      <c r="H873" s="4"/>
      <c r="I873" s="4"/>
      <c r="J873" s="13"/>
      <c r="K873" s="2"/>
    </row>
    <row r="874" spans="1:11" x14ac:dyDescent="0.3">
      <c r="A874" s="10"/>
      <c r="B874" s="6"/>
      <c r="C874" s="4"/>
      <c r="D874" s="4"/>
      <c r="E874" s="4"/>
      <c r="F874" s="4"/>
      <c r="G874" s="2"/>
      <c r="H874" s="4"/>
      <c r="I874" s="4"/>
      <c r="J874" s="13"/>
      <c r="K874" s="2"/>
    </row>
    <row r="875" spans="1:11" x14ac:dyDescent="0.3">
      <c r="A875" s="10"/>
      <c r="B875" s="6"/>
      <c r="C875" s="4"/>
      <c r="D875" s="4"/>
      <c r="E875" s="4"/>
      <c r="F875" s="4"/>
      <c r="G875" s="2"/>
      <c r="H875" s="4"/>
      <c r="I875" s="4"/>
      <c r="J875" s="13"/>
      <c r="K875" s="2"/>
    </row>
    <row r="876" spans="1:11" x14ac:dyDescent="0.3">
      <c r="A876" s="10"/>
      <c r="B876" s="6"/>
      <c r="C876" s="4"/>
      <c r="D876" s="4"/>
      <c r="E876" s="4"/>
      <c r="F876" s="4"/>
      <c r="G876" s="2"/>
      <c r="H876" s="4"/>
      <c r="I876" s="4"/>
      <c r="J876" s="13"/>
      <c r="K876" s="2"/>
    </row>
    <row r="877" spans="1:11" x14ac:dyDescent="0.3">
      <c r="A877" s="10"/>
      <c r="B877" s="6"/>
      <c r="C877" s="4"/>
      <c r="D877" s="4"/>
      <c r="E877" s="4"/>
      <c r="F877" s="4"/>
      <c r="G877" s="2"/>
      <c r="H877" s="4"/>
      <c r="I877" s="4"/>
      <c r="J877" s="13"/>
      <c r="K877" s="2"/>
    </row>
    <row r="878" spans="1:11" x14ac:dyDescent="0.3">
      <c r="A878" s="10"/>
      <c r="B878" s="6"/>
      <c r="C878" s="4"/>
      <c r="D878" s="4"/>
      <c r="E878" s="4"/>
      <c r="F878" s="4"/>
      <c r="G878" s="2"/>
      <c r="H878" s="4"/>
      <c r="I878" s="4"/>
      <c r="J878" s="13"/>
      <c r="K878" s="2"/>
    </row>
    <row r="879" spans="1:11" x14ac:dyDescent="0.3">
      <c r="A879" s="10"/>
      <c r="B879" s="6"/>
      <c r="C879" s="4"/>
      <c r="D879" s="4"/>
      <c r="E879" s="4"/>
      <c r="F879" s="4"/>
      <c r="G879" s="2"/>
      <c r="H879" s="4"/>
      <c r="I879" s="4"/>
      <c r="J879" s="13"/>
      <c r="K879" s="2"/>
    </row>
    <row r="880" spans="1:11" x14ac:dyDescent="0.3">
      <c r="A880" s="10"/>
      <c r="B880" s="6"/>
      <c r="C880" s="4"/>
      <c r="D880" s="4"/>
      <c r="E880" s="4"/>
      <c r="F880" s="4"/>
      <c r="G880" s="2"/>
      <c r="H880" s="4"/>
      <c r="I880" s="4"/>
      <c r="J880" s="13"/>
      <c r="K880" s="2"/>
    </row>
    <row r="881" spans="1:11" x14ac:dyDescent="0.3">
      <c r="A881" s="10"/>
      <c r="B881" s="6"/>
      <c r="C881" s="4"/>
      <c r="D881" s="4"/>
      <c r="E881" s="4"/>
      <c r="F881" s="4"/>
      <c r="G881" s="2"/>
      <c r="H881" s="4"/>
      <c r="I881" s="4"/>
      <c r="J881" s="13"/>
      <c r="K881" s="2"/>
    </row>
    <row r="882" spans="1:11" x14ac:dyDescent="0.3">
      <c r="A882" s="10"/>
      <c r="B882" s="6"/>
      <c r="C882" s="4"/>
      <c r="D882" s="4"/>
      <c r="E882" s="4"/>
      <c r="F882" s="4"/>
      <c r="G882" s="2"/>
      <c r="H882" s="4"/>
      <c r="I882" s="4"/>
      <c r="J882" s="13"/>
      <c r="K882" s="2"/>
    </row>
    <row r="883" spans="1:11" x14ac:dyDescent="0.3">
      <c r="A883" s="10"/>
      <c r="B883" s="6"/>
      <c r="C883" s="4"/>
      <c r="D883" s="4"/>
      <c r="E883" s="4"/>
      <c r="F883" s="4"/>
      <c r="G883" s="2"/>
      <c r="H883" s="4"/>
      <c r="I883" s="4"/>
      <c r="J883" s="13"/>
      <c r="K883" s="2"/>
    </row>
    <row r="884" spans="1:11" x14ac:dyDescent="0.3">
      <c r="A884" s="10"/>
      <c r="B884" s="6"/>
      <c r="C884" s="4"/>
      <c r="D884" s="4"/>
      <c r="E884" s="4"/>
      <c r="F884" s="4"/>
      <c r="G884" s="2"/>
      <c r="H884" s="4"/>
      <c r="I884" s="4"/>
      <c r="J884" s="13"/>
      <c r="K884" s="2"/>
    </row>
    <row r="885" spans="1:11" x14ac:dyDescent="0.3">
      <c r="A885" s="10"/>
      <c r="B885" s="6"/>
      <c r="C885" s="4"/>
      <c r="D885" s="4"/>
      <c r="E885" s="4"/>
      <c r="F885" s="4"/>
      <c r="G885" s="2"/>
      <c r="H885" s="4"/>
      <c r="I885" s="4"/>
      <c r="J885" s="13"/>
      <c r="K885" s="2"/>
    </row>
    <row r="886" spans="1:11" x14ac:dyDescent="0.3">
      <c r="A886" s="10"/>
      <c r="B886" s="6"/>
      <c r="C886" s="4"/>
      <c r="D886" s="4"/>
      <c r="E886" s="4"/>
      <c r="F886" s="4"/>
      <c r="G886" s="2"/>
      <c r="H886" s="4"/>
      <c r="I886" s="4"/>
      <c r="J886" s="13"/>
      <c r="K886" s="2"/>
    </row>
    <row r="887" spans="1:11" x14ac:dyDescent="0.3">
      <c r="A887" s="10"/>
      <c r="B887" s="6"/>
      <c r="C887" s="4"/>
      <c r="D887" s="4"/>
      <c r="E887" s="4"/>
      <c r="F887" s="4"/>
      <c r="G887" s="2"/>
      <c r="H887" s="4"/>
      <c r="I887" s="4"/>
      <c r="J887" s="13"/>
      <c r="K887" s="2"/>
    </row>
    <row r="888" spans="1:11" x14ac:dyDescent="0.3">
      <c r="A888" s="10"/>
      <c r="B888" s="6"/>
      <c r="C888" s="4"/>
      <c r="D888" s="4"/>
      <c r="E888" s="4"/>
      <c r="F888" s="4"/>
      <c r="G888" s="2"/>
      <c r="H888" s="4"/>
      <c r="I888" s="4"/>
      <c r="J888" s="13"/>
      <c r="K888" s="2"/>
    </row>
    <row r="889" spans="1:11" x14ac:dyDescent="0.3">
      <c r="A889" s="10"/>
      <c r="B889" s="6"/>
      <c r="C889" s="4"/>
      <c r="D889" s="4"/>
      <c r="E889" s="4"/>
      <c r="F889" s="4"/>
      <c r="G889" s="2"/>
      <c r="H889" s="4"/>
      <c r="I889" s="4"/>
      <c r="J889" s="13"/>
      <c r="K889" s="2"/>
    </row>
    <row r="890" spans="1:11" x14ac:dyDescent="0.3">
      <c r="A890" s="10"/>
      <c r="B890" s="6"/>
      <c r="C890" s="4"/>
      <c r="D890" s="4"/>
      <c r="E890" s="4"/>
      <c r="F890" s="4"/>
      <c r="G890" s="2"/>
      <c r="H890" s="4"/>
      <c r="I890" s="4"/>
      <c r="J890" s="13"/>
      <c r="K890" s="2"/>
    </row>
    <row r="891" spans="1:11" x14ac:dyDescent="0.3">
      <c r="A891" s="10"/>
      <c r="B891" s="6"/>
      <c r="C891" s="4"/>
      <c r="D891" s="4"/>
      <c r="E891" s="4"/>
      <c r="F891" s="4"/>
      <c r="G891" s="2"/>
      <c r="H891" s="4"/>
      <c r="I891" s="4"/>
      <c r="J891" s="13"/>
      <c r="K891" s="2"/>
    </row>
    <row r="892" spans="1:11" x14ac:dyDescent="0.3">
      <c r="A892" s="10"/>
      <c r="B892" s="6"/>
      <c r="C892" s="4"/>
      <c r="D892" s="4"/>
      <c r="E892" s="4"/>
      <c r="F892" s="4"/>
      <c r="G892" s="2"/>
      <c r="H892" s="4"/>
      <c r="I892" s="4"/>
      <c r="J892" s="13"/>
      <c r="K892" s="2"/>
    </row>
    <row r="893" spans="1:11" x14ac:dyDescent="0.3">
      <c r="A893" s="10"/>
      <c r="B893" s="6"/>
      <c r="C893" s="4"/>
      <c r="D893" s="4"/>
      <c r="E893" s="4"/>
      <c r="F893" s="4"/>
      <c r="G893" s="2"/>
      <c r="H893" s="4"/>
      <c r="I893" s="4"/>
      <c r="J893" s="13"/>
      <c r="K893" s="2"/>
    </row>
    <row r="894" spans="1:11" x14ac:dyDescent="0.3">
      <c r="A894" s="10"/>
      <c r="B894" s="6"/>
      <c r="C894" s="4"/>
      <c r="D894" s="4"/>
      <c r="E894" s="4"/>
      <c r="F894" s="4"/>
      <c r="G894" s="2"/>
      <c r="H894" s="4"/>
      <c r="I894" s="4"/>
      <c r="J894" s="13"/>
      <c r="K894" s="2"/>
    </row>
    <row r="895" spans="1:11" x14ac:dyDescent="0.3">
      <c r="A895" s="10"/>
      <c r="B895" s="6"/>
      <c r="C895" s="4"/>
      <c r="D895" s="4"/>
      <c r="E895" s="4"/>
      <c r="F895" s="4"/>
      <c r="G895" s="2"/>
      <c r="H895" s="4"/>
      <c r="I895" s="4"/>
      <c r="J895" s="13"/>
      <c r="K895" s="2"/>
    </row>
    <row r="896" spans="1:11" x14ac:dyDescent="0.3">
      <c r="A896" s="10"/>
      <c r="B896" s="6"/>
      <c r="C896" s="4"/>
      <c r="D896" s="4"/>
      <c r="E896" s="4"/>
      <c r="F896" s="4"/>
      <c r="G896" s="2"/>
      <c r="H896" s="4"/>
      <c r="I896" s="4"/>
      <c r="J896" s="13"/>
      <c r="K896" s="2"/>
    </row>
    <row r="897" spans="1:11" x14ac:dyDescent="0.3">
      <c r="A897" s="10"/>
      <c r="B897" s="6"/>
      <c r="C897" s="4"/>
      <c r="D897" s="4"/>
      <c r="E897" s="4"/>
      <c r="F897" s="4"/>
      <c r="G897" s="2"/>
      <c r="H897" s="4"/>
      <c r="I897" s="4"/>
      <c r="J897" s="13"/>
      <c r="K897" s="2"/>
    </row>
    <row r="898" spans="1:11" x14ac:dyDescent="0.3">
      <c r="A898" s="10"/>
      <c r="B898" s="6"/>
      <c r="C898" s="4"/>
      <c r="D898" s="4"/>
      <c r="E898" s="4"/>
      <c r="F898" s="4"/>
      <c r="G898" s="2"/>
      <c r="H898" s="4"/>
      <c r="I898" s="4"/>
      <c r="J898" s="13"/>
      <c r="K898" s="2"/>
    </row>
    <row r="899" spans="1:11" x14ac:dyDescent="0.3">
      <c r="A899" s="10"/>
      <c r="B899" s="6"/>
      <c r="C899" s="4"/>
      <c r="D899" s="4"/>
      <c r="E899" s="4"/>
      <c r="F899" s="4"/>
      <c r="G899" s="2"/>
      <c r="H899" s="4"/>
      <c r="I899" s="4"/>
      <c r="J899" s="13"/>
      <c r="K899" s="2"/>
    </row>
    <row r="900" spans="1:11" x14ac:dyDescent="0.3">
      <c r="A900" s="10"/>
      <c r="B900" s="6"/>
      <c r="C900" s="4"/>
      <c r="D900" s="4"/>
      <c r="E900" s="4"/>
      <c r="F900" s="4"/>
      <c r="G900" s="2"/>
      <c r="H900" s="4"/>
      <c r="I900" s="4"/>
      <c r="J900" s="13"/>
      <c r="K900" s="2"/>
    </row>
    <row r="901" spans="1:11" x14ac:dyDescent="0.3">
      <c r="A901" s="10"/>
      <c r="B901" s="6"/>
      <c r="C901" s="4"/>
      <c r="D901" s="4"/>
      <c r="E901" s="4"/>
      <c r="F901" s="4"/>
      <c r="G901" s="2"/>
      <c r="H901" s="4"/>
      <c r="I901" s="4"/>
      <c r="J901" s="13"/>
      <c r="K901" s="2"/>
    </row>
    <row r="902" spans="1:11" x14ac:dyDescent="0.3">
      <c r="A902" s="10"/>
      <c r="B902" s="6"/>
      <c r="C902" s="4"/>
      <c r="D902" s="4"/>
      <c r="E902" s="4"/>
      <c r="F902" s="4"/>
      <c r="G902" s="2"/>
      <c r="H902" s="4"/>
      <c r="I902" s="4"/>
      <c r="J902" s="13"/>
      <c r="K902" s="2"/>
    </row>
    <row r="903" spans="1:11" x14ac:dyDescent="0.3">
      <c r="A903" s="10"/>
      <c r="B903" s="6"/>
      <c r="C903" s="4"/>
      <c r="D903" s="4"/>
      <c r="E903" s="4"/>
      <c r="F903" s="4"/>
      <c r="G903" s="2"/>
      <c r="H903" s="4"/>
      <c r="I903" s="4"/>
      <c r="J903" s="13"/>
      <c r="K903" s="2"/>
    </row>
    <row r="904" spans="1:11" x14ac:dyDescent="0.3">
      <c r="A904" s="10"/>
      <c r="B904" s="6"/>
      <c r="C904" s="4"/>
      <c r="D904" s="4"/>
      <c r="E904" s="4"/>
      <c r="F904" s="4"/>
      <c r="G904" s="2"/>
      <c r="H904" s="4"/>
      <c r="I904" s="4"/>
      <c r="J904" s="13"/>
      <c r="K904" s="2"/>
    </row>
    <row r="905" spans="1:11" x14ac:dyDescent="0.3">
      <c r="A905" s="10"/>
      <c r="B905" s="6"/>
      <c r="C905" s="4"/>
      <c r="D905" s="4"/>
      <c r="E905" s="4"/>
      <c r="F905" s="4"/>
      <c r="G905" s="2"/>
      <c r="H905" s="4"/>
      <c r="I905" s="4"/>
      <c r="J905" s="13"/>
      <c r="K905" s="2"/>
    </row>
    <row r="906" spans="1:11" x14ac:dyDescent="0.3">
      <c r="A906" s="10"/>
      <c r="B906" s="6"/>
      <c r="C906" s="4"/>
      <c r="D906" s="4"/>
      <c r="E906" s="4"/>
      <c r="F906" s="4"/>
      <c r="G906" s="2"/>
      <c r="H906" s="4"/>
      <c r="I906" s="4"/>
      <c r="J906" s="13"/>
      <c r="K906" s="2"/>
    </row>
    <row r="907" spans="1:11" x14ac:dyDescent="0.3">
      <c r="A907" s="10"/>
      <c r="B907" s="6"/>
      <c r="C907" s="4"/>
      <c r="D907" s="4"/>
      <c r="E907" s="4"/>
      <c r="F907" s="4"/>
      <c r="G907" s="2"/>
      <c r="H907" s="4"/>
      <c r="I907" s="4"/>
      <c r="J907" s="13"/>
      <c r="K907" s="2"/>
    </row>
    <row r="908" spans="1:11" x14ac:dyDescent="0.3">
      <c r="A908" s="10"/>
      <c r="B908" s="6"/>
      <c r="C908" s="4"/>
      <c r="D908" s="4"/>
      <c r="E908" s="4"/>
      <c r="F908" s="4"/>
      <c r="G908" s="2"/>
      <c r="H908" s="4"/>
      <c r="I908" s="4"/>
      <c r="J908" s="13"/>
      <c r="K908" s="2"/>
    </row>
    <row r="909" spans="1:11" x14ac:dyDescent="0.3">
      <c r="A909" s="10"/>
      <c r="B909" s="6"/>
      <c r="C909" s="4"/>
      <c r="D909" s="4"/>
      <c r="E909" s="4"/>
      <c r="F909" s="4"/>
      <c r="G909" s="2"/>
      <c r="H909" s="4"/>
      <c r="I909" s="4"/>
      <c r="J909" s="13"/>
      <c r="K909" s="2"/>
    </row>
    <row r="910" spans="1:11" x14ac:dyDescent="0.3">
      <c r="A910" s="10"/>
      <c r="B910" s="6"/>
      <c r="C910" s="4"/>
      <c r="D910" s="4"/>
      <c r="E910" s="4"/>
      <c r="F910" s="4"/>
      <c r="G910" s="2"/>
      <c r="H910" s="4"/>
      <c r="I910" s="4"/>
      <c r="J910" s="13"/>
      <c r="K910" s="2"/>
    </row>
    <row r="911" spans="1:11" x14ac:dyDescent="0.3">
      <c r="A911" s="10"/>
      <c r="B911" s="6"/>
      <c r="C911" s="4"/>
      <c r="D911" s="4"/>
      <c r="E911" s="4"/>
      <c r="F911" s="4"/>
      <c r="G911" s="2"/>
      <c r="H911" s="4"/>
      <c r="I911" s="4"/>
      <c r="J911" s="13"/>
      <c r="K911" s="2"/>
    </row>
    <row r="912" spans="1:11" x14ac:dyDescent="0.3">
      <c r="A912" s="10"/>
      <c r="B912" s="6"/>
      <c r="C912" s="4"/>
      <c r="D912" s="4"/>
      <c r="E912" s="4"/>
      <c r="F912" s="4"/>
      <c r="G912" s="2"/>
      <c r="H912" s="4"/>
      <c r="I912" s="4"/>
      <c r="J912" s="13"/>
      <c r="K912" s="2"/>
    </row>
    <row r="913" spans="1:11" x14ac:dyDescent="0.3">
      <c r="A913" s="10"/>
      <c r="B913" s="6"/>
      <c r="C913" s="4"/>
      <c r="D913" s="4"/>
      <c r="E913" s="4"/>
      <c r="F913" s="4"/>
      <c r="G913" s="2"/>
      <c r="H913" s="4"/>
      <c r="I913" s="4"/>
      <c r="J913" s="13"/>
      <c r="K913" s="2"/>
    </row>
    <row r="914" spans="1:11" x14ac:dyDescent="0.3">
      <c r="A914" s="10"/>
      <c r="B914" s="6"/>
      <c r="C914" s="4"/>
      <c r="D914" s="4"/>
      <c r="E914" s="4"/>
      <c r="F914" s="4"/>
      <c r="G914" s="2"/>
      <c r="H914" s="4"/>
      <c r="I914" s="4"/>
      <c r="J914" s="13"/>
      <c r="K914" s="2"/>
    </row>
    <row r="915" spans="1:11" x14ac:dyDescent="0.3">
      <c r="A915" s="10"/>
      <c r="B915" s="6"/>
      <c r="C915" s="4"/>
      <c r="D915" s="4"/>
      <c r="E915" s="4"/>
      <c r="F915" s="4"/>
      <c r="G915" s="2"/>
      <c r="H915" s="4"/>
      <c r="I915" s="4"/>
      <c r="J915" s="13"/>
      <c r="K915" s="2"/>
    </row>
    <row r="916" spans="1:11" x14ac:dyDescent="0.3">
      <c r="A916" s="10"/>
      <c r="B916" s="6"/>
      <c r="C916" s="4"/>
      <c r="D916" s="4"/>
      <c r="E916" s="4"/>
      <c r="F916" s="4"/>
      <c r="G916" s="2"/>
      <c r="H916" s="4"/>
      <c r="I916" s="4"/>
      <c r="J916" s="13"/>
      <c r="K916" s="2"/>
    </row>
    <row r="917" spans="1:11" x14ac:dyDescent="0.3">
      <c r="A917" s="10"/>
      <c r="B917" s="6"/>
      <c r="C917" s="4"/>
      <c r="D917" s="4"/>
      <c r="E917" s="4"/>
      <c r="F917" s="4"/>
      <c r="G917" s="2"/>
      <c r="H917" s="4"/>
      <c r="I917" s="4"/>
      <c r="J917" s="13"/>
      <c r="K917" s="2"/>
    </row>
    <row r="918" spans="1:11" x14ac:dyDescent="0.3">
      <c r="A918" s="10"/>
      <c r="B918" s="6"/>
      <c r="C918" s="4"/>
      <c r="D918" s="4"/>
      <c r="E918" s="4"/>
      <c r="F918" s="4"/>
      <c r="G918" s="2"/>
      <c r="H918" s="4"/>
      <c r="I918" s="4"/>
      <c r="J918" s="13"/>
      <c r="K918" s="2"/>
    </row>
    <row r="919" spans="1:11" x14ac:dyDescent="0.3">
      <c r="A919" s="10"/>
      <c r="B919" s="6"/>
      <c r="C919" s="4"/>
      <c r="D919" s="4"/>
      <c r="E919" s="4"/>
      <c r="F919" s="4"/>
      <c r="G919" s="2"/>
      <c r="H919" s="4"/>
      <c r="I919" s="4"/>
      <c r="J919" s="13"/>
      <c r="K919" s="2"/>
    </row>
    <row r="920" spans="1:11" x14ac:dyDescent="0.3">
      <c r="A920" s="10"/>
      <c r="B920" s="6"/>
      <c r="C920" s="4"/>
      <c r="D920" s="4"/>
      <c r="E920" s="4"/>
      <c r="F920" s="4"/>
      <c r="G920" s="2"/>
      <c r="H920" s="4"/>
      <c r="I920" s="4"/>
      <c r="J920" s="13"/>
      <c r="K920" s="2"/>
    </row>
    <row r="921" spans="1:11" x14ac:dyDescent="0.3">
      <c r="A921" s="10"/>
      <c r="B921" s="6"/>
      <c r="C921" s="4"/>
      <c r="D921" s="4"/>
      <c r="E921" s="4"/>
      <c r="F921" s="4"/>
      <c r="G921" s="2"/>
      <c r="H921" s="4"/>
      <c r="I921" s="4"/>
      <c r="J921" s="13"/>
      <c r="K921" s="2"/>
    </row>
    <row r="922" spans="1:11" x14ac:dyDescent="0.3">
      <c r="A922" s="10"/>
      <c r="B922" s="6"/>
      <c r="C922" s="4"/>
      <c r="D922" s="4"/>
      <c r="E922" s="4"/>
      <c r="F922" s="4"/>
      <c r="G922" s="2"/>
      <c r="H922" s="4"/>
      <c r="I922" s="4"/>
      <c r="J922" s="13"/>
      <c r="K922" s="2"/>
    </row>
    <row r="923" spans="1:11" x14ac:dyDescent="0.3">
      <c r="A923" s="10"/>
      <c r="B923" s="6"/>
      <c r="C923" s="4"/>
      <c r="D923" s="4"/>
      <c r="E923" s="4"/>
      <c r="F923" s="4"/>
      <c r="G923" s="2"/>
      <c r="H923" s="4"/>
      <c r="I923" s="4"/>
      <c r="J923" s="13"/>
      <c r="K923" s="2"/>
    </row>
    <row r="924" spans="1:11" x14ac:dyDescent="0.3">
      <c r="A924" s="10"/>
      <c r="B924" s="6"/>
      <c r="C924" s="4"/>
      <c r="D924" s="4"/>
      <c r="E924" s="4"/>
      <c r="F924" s="4"/>
      <c r="G924" s="2"/>
      <c r="H924" s="4"/>
      <c r="I924" s="4"/>
      <c r="J924" s="13"/>
      <c r="K924" s="2"/>
    </row>
    <row r="925" spans="1:11" x14ac:dyDescent="0.3">
      <c r="A925" s="10"/>
      <c r="B925" s="6"/>
      <c r="C925" s="4"/>
      <c r="D925" s="4"/>
      <c r="E925" s="4"/>
      <c r="F925" s="4"/>
      <c r="G925" s="2"/>
      <c r="H925" s="4"/>
      <c r="I925" s="4"/>
      <c r="J925" s="13"/>
      <c r="K925" s="2"/>
    </row>
    <row r="926" spans="1:11" x14ac:dyDescent="0.3">
      <c r="A926" s="10"/>
      <c r="B926" s="6"/>
      <c r="C926" s="4"/>
      <c r="D926" s="4"/>
      <c r="E926" s="4"/>
      <c r="F926" s="4"/>
      <c r="G926" s="2"/>
      <c r="H926" s="4"/>
      <c r="I926" s="4"/>
      <c r="J926" s="13"/>
      <c r="K926" s="2"/>
    </row>
    <row r="927" spans="1:11" x14ac:dyDescent="0.3">
      <c r="A927" s="10"/>
      <c r="B927" s="6"/>
      <c r="C927" s="4"/>
      <c r="D927" s="4"/>
      <c r="E927" s="4"/>
      <c r="F927" s="4"/>
      <c r="G927" s="2"/>
      <c r="H927" s="4"/>
      <c r="I927" s="4"/>
      <c r="J927" s="13"/>
      <c r="K927" s="2"/>
    </row>
    <row r="928" spans="1:11" x14ac:dyDescent="0.3">
      <c r="A928" s="10"/>
      <c r="B928" s="6"/>
      <c r="C928" s="4"/>
      <c r="D928" s="4"/>
      <c r="E928" s="4"/>
      <c r="F928" s="4"/>
      <c r="G928" s="2"/>
      <c r="H928" s="4"/>
      <c r="I928" s="4"/>
      <c r="J928" s="13"/>
      <c r="K928" s="2"/>
    </row>
    <row r="929" spans="1:11" x14ac:dyDescent="0.3">
      <c r="A929" s="10"/>
      <c r="B929" s="6"/>
      <c r="C929" s="4"/>
      <c r="D929" s="4"/>
      <c r="E929" s="4"/>
      <c r="F929" s="4"/>
      <c r="G929" s="2"/>
      <c r="H929" s="4"/>
      <c r="I929" s="4"/>
      <c r="J929" s="13"/>
      <c r="K929" s="2"/>
    </row>
    <row r="930" spans="1:11" x14ac:dyDescent="0.3">
      <c r="A930" s="10"/>
      <c r="B930" s="6"/>
      <c r="C930" s="4"/>
      <c r="D930" s="4"/>
      <c r="E930" s="4"/>
      <c r="F930" s="4"/>
      <c r="G930" s="2"/>
      <c r="H930" s="4"/>
      <c r="I930" s="4"/>
      <c r="J930" s="13"/>
      <c r="K930" s="2"/>
    </row>
    <row r="931" spans="1:11" x14ac:dyDescent="0.3">
      <c r="A931" s="10"/>
      <c r="B931" s="6"/>
      <c r="C931" s="4"/>
      <c r="D931" s="4"/>
      <c r="E931" s="4"/>
      <c r="F931" s="4"/>
      <c r="G931" s="2"/>
      <c r="H931" s="4"/>
      <c r="I931" s="4"/>
      <c r="J931" s="13"/>
      <c r="K931" s="2"/>
    </row>
    <row r="932" spans="1:11" x14ac:dyDescent="0.3">
      <c r="A932" s="10"/>
      <c r="B932" s="6"/>
      <c r="C932" s="4"/>
      <c r="D932" s="4"/>
      <c r="E932" s="4"/>
      <c r="F932" s="4"/>
      <c r="G932" s="2"/>
      <c r="H932" s="4"/>
      <c r="I932" s="4"/>
      <c r="J932" s="13"/>
      <c r="K932" s="2"/>
    </row>
    <row r="933" spans="1:11" x14ac:dyDescent="0.3">
      <c r="A933" s="10"/>
      <c r="B933" s="6"/>
      <c r="C933" s="4"/>
      <c r="D933" s="4"/>
      <c r="E933" s="4"/>
      <c r="F933" s="4"/>
      <c r="G933" s="2"/>
      <c r="H933" s="4"/>
      <c r="I933" s="4"/>
      <c r="J933" s="13"/>
      <c r="K933" s="2"/>
    </row>
    <row r="934" spans="1:11" x14ac:dyDescent="0.3">
      <c r="A934" s="10"/>
      <c r="B934" s="6"/>
      <c r="C934" s="4"/>
      <c r="D934" s="4"/>
      <c r="E934" s="4"/>
      <c r="F934" s="4"/>
      <c r="G934" s="2"/>
      <c r="H934" s="4"/>
      <c r="I934" s="4"/>
      <c r="J934" s="13"/>
      <c r="K934" s="2"/>
    </row>
    <row r="935" spans="1:11" x14ac:dyDescent="0.3">
      <c r="A935" s="10"/>
      <c r="B935" s="6"/>
      <c r="C935" s="4"/>
      <c r="D935" s="4"/>
      <c r="E935" s="4"/>
      <c r="F935" s="4"/>
      <c r="G935" s="2"/>
      <c r="H935" s="4"/>
      <c r="I935" s="4"/>
      <c r="J935" s="13"/>
      <c r="K935" s="2"/>
    </row>
    <row r="936" spans="1:11" x14ac:dyDescent="0.3">
      <c r="A936" s="10"/>
      <c r="B936" s="6"/>
      <c r="C936" s="4"/>
      <c r="D936" s="4"/>
      <c r="E936" s="4"/>
      <c r="F936" s="4"/>
      <c r="G936" s="2"/>
      <c r="H936" s="4"/>
      <c r="I936" s="4"/>
      <c r="J936" s="13"/>
      <c r="K936" s="2"/>
    </row>
    <row r="937" spans="1:11" x14ac:dyDescent="0.3">
      <c r="A937" s="10"/>
      <c r="B937" s="6"/>
      <c r="C937" s="4"/>
      <c r="D937" s="4"/>
      <c r="E937" s="4"/>
      <c r="F937" s="4"/>
      <c r="G937" s="2"/>
      <c r="H937" s="4"/>
      <c r="I937" s="4"/>
      <c r="J937" s="13"/>
      <c r="K937" s="2"/>
    </row>
    <row r="938" spans="1:11" x14ac:dyDescent="0.3">
      <c r="A938" s="10"/>
      <c r="B938" s="6"/>
      <c r="C938" s="4"/>
      <c r="D938" s="4"/>
      <c r="E938" s="4"/>
      <c r="F938" s="4"/>
      <c r="G938" s="2"/>
      <c r="H938" s="4"/>
      <c r="I938" s="4"/>
      <c r="J938" s="13"/>
      <c r="K938" s="2"/>
    </row>
    <row r="939" spans="1:11" x14ac:dyDescent="0.3">
      <c r="A939" s="10"/>
      <c r="B939" s="6"/>
      <c r="C939" s="4"/>
      <c r="D939" s="4"/>
      <c r="E939" s="4"/>
      <c r="F939" s="4"/>
      <c r="G939" s="2"/>
      <c r="H939" s="4"/>
      <c r="I939" s="4"/>
      <c r="J939" s="13"/>
      <c r="K939" s="2"/>
    </row>
    <row r="940" spans="1:11" x14ac:dyDescent="0.3">
      <c r="A940" s="10"/>
      <c r="B940" s="6"/>
      <c r="C940" s="4"/>
      <c r="D940" s="4"/>
      <c r="E940" s="4"/>
      <c r="F940" s="4"/>
      <c r="G940" s="2"/>
      <c r="H940" s="4"/>
      <c r="I940" s="4"/>
      <c r="J940" s="13"/>
      <c r="K940" s="2"/>
    </row>
    <row r="941" spans="1:11" x14ac:dyDescent="0.3">
      <c r="A941" s="10"/>
      <c r="B941" s="6"/>
      <c r="C941" s="4"/>
      <c r="D941" s="4"/>
      <c r="E941" s="4"/>
      <c r="F941" s="4"/>
      <c r="G941" s="2"/>
      <c r="H941" s="4"/>
      <c r="I941" s="4"/>
      <c r="J941" s="13"/>
      <c r="K941" s="2"/>
    </row>
    <row r="942" spans="1:11" x14ac:dyDescent="0.3">
      <c r="A942" s="10"/>
      <c r="B942" s="6"/>
      <c r="C942" s="4"/>
      <c r="D942" s="4"/>
      <c r="E942" s="4"/>
      <c r="F942" s="4"/>
      <c r="G942" s="2"/>
      <c r="H942" s="4"/>
      <c r="I942" s="4"/>
      <c r="J942" s="13"/>
      <c r="K942" s="2"/>
    </row>
    <row r="943" spans="1:11" x14ac:dyDescent="0.3">
      <c r="A943" s="10"/>
      <c r="B943" s="6"/>
      <c r="C943" s="4"/>
      <c r="D943" s="4"/>
      <c r="E943" s="4"/>
      <c r="F943" s="4"/>
      <c r="G943" s="2"/>
      <c r="H943" s="4"/>
      <c r="I943" s="4"/>
      <c r="J943" s="13"/>
      <c r="K943" s="2"/>
    </row>
    <row r="944" spans="1:11" x14ac:dyDescent="0.3">
      <c r="A944" s="10"/>
      <c r="B944" s="6"/>
      <c r="C944" s="4"/>
      <c r="D944" s="4"/>
      <c r="E944" s="4"/>
      <c r="F944" s="4"/>
      <c r="G944" s="2"/>
      <c r="H944" s="4"/>
      <c r="I944" s="4"/>
      <c r="J944" s="13"/>
      <c r="K944" s="2"/>
    </row>
    <row r="945" spans="1:11" x14ac:dyDescent="0.3">
      <c r="A945" s="10"/>
      <c r="B945" s="6"/>
      <c r="C945" s="4"/>
      <c r="D945" s="4"/>
      <c r="E945" s="4"/>
      <c r="F945" s="4"/>
      <c r="G945" s="2"/>
      <c r="H945" s="4"/>
      <c r="I945" s="4"/>
      <c r="J945" s="13"/>
      <c r="K945" s="2"/>
    </row>
    <row r="946" spans="1:11" x14ac:dyDescent="0.3">
      <c r="A946" s="10"/>
      <c r="B946" s="6"/>
      <c r="C946" s="4"/>
      <c r="D946" s="4"/>
      <c r="E946" s="4"/>
      <c r="F946" s="4"/>
      <c r="G946" s="2"/>
      <c r="H946" s="4"/>
      <c r="I946" s="4"/>
      <c r="J946" s="13"/>
      <c r="K946" s="2"/>
    </row>
    <row r="947" spans="1:11" x14ac:dyDescent="0.3">
      <c r="A947" s="10"/>
      <c r="B947" s="6"/>
      <c r="C947" s="4"/>
      <c r="D947" s="4"/>
      <c r="E947" s="4"/>
      <c r="F947" s="4"/>
      <c r="G947" s="2"/>
      <c r="H947" s="4"/>
      <c r="I947" s="4"/>
      <c r="J947" s="13"/>
      <c r="K947" s="2"/>
    </row>
    <row r="948" spans="1:11" x14ac:dyDescent="0.3">
      <c r="A948" s="10"/>
      <c r="B948" s="6"/>
      <c r="C948" s="4"/>
      <c r="D948" s="4"/>
      <c r="E948" s="4"/>
      <c r="F948" s="4"/>
      <c r="G948" s="2"/>
      <c r="H948" s="4"/>
      <c r="I948" s="4"/>
      <c r="J948" s="13"/>
      <c r="K948" s="2"/>
    </row>
    <row r="949" spans="1:11" x14ac:dyDescent="0.3">
      <c r="A949" s="10"/>
      <c r="B949" s="6"/>
      <c r="C949" s="4"/>
      <c r="D949" s="4"/>
      <c r="E949" s="4"/>
      <c r="F949" s="4"/>
      <c r="G949" s="2"/>
      <c r="H949" s="4"/>
      <c r="I949" s="4"/>
      <c r="J949" s="13"/>
      <c r="K949" s="2"/>
    </row>
    <row r="950" spans="1:11" x14ac:dyDescent="0.3">
      <c r="A950" s="10"/>
      <c r="B950" s="6"/>
      <c r="C950" s="4"/>
      <c r="D950" s="4"/>
      <c r="E950" s="4"/>
      <c r="F950" s="4"/>
      <c r="G950" s="2"/>
      <c r="H950" s="4"/>
      <c r="I950" s="4"/>
      <c r="J950" s="13"/>
      <c r="K950" s="2"/>
    </row>
    <row r="951" spans="1:11" x14ac:dyDescent="0.3">
      <c r="A951" s="10"/>
      <c r="B951" s="6"/>
      <c r="C951" s="4"/>
      <c r="D951" s="4"/>
      <c r="E951" s="4"/>
      <c r="F951" s="4"/>
      <c r="G951" s="2"/>
      <c r="H951" s="4"/>
      <c r="I951" s="4"/>
      <c r="J951" s="13"/>
      <c r="K951" s="2"/>
    </row>
    <row r="952" spans="1:11" x14ac:dyDescent="0.3">
      <c r="A952" s="10"/>
      <c r="B952" s="6"/>
      <c r="C952" s="4"/>
      <c r="D952" s="4"/>
      <c r="E952" s="4"/>
      <c r="F952" s="4"/>
      <c r="G952" s="2"/>
      <c r="H952" s="4"/>
      <c r="I952" s="4"/>
      <c r="J952" s="13"/>
      <c r="K952" s="2"/>
    </row>
    <row r="953" spans="1:11" x14ac:dyDescent="0.3">
      <c r="A953" s="10"/>
      <c r="B953" s="6"/>
      <c r="C953" s="4"/>
      <c r="D953" s="4"/>
      <c r="E953" s="4"/>
      <c r="F953" s="4"/>
      <c r="G953" s="2"/>
      <c r="H953" s="4"/>
      <c r="I953" s="4"/>
      <c r="J953" s="13"/>
      <c r="K953" s="2"/>
    </row>
    <row r="954" spans="1:11" x14ac:dyDescent="0.3">
      <c r="A954" s="10"/>
      <c r="B954" s="6"/>
      <c r="C954" s="4"/>
      <c r="D954" s="4"/>
      <c r="E954" s="4"/>
      <c r="F954" s="4"/>
      <c r="G954" s="2"/>
      <c r="H954" s="4"/>
      <c r="I954" s="4"/>
      <c r="J954" s="13"/>
      <c r="K954" s="2"/>
    </row>
    <row r="955" spans="1:11" x14ac:dyDescent="0.3">
      <c r="A955" s="10"/>
      <c r="B955" s="6"/>
      <c r="C955" s="4"/>
      <c r="D955" s="4"/>
      <c r="E955" s="4"/>
      <c r="F955" s="4"/>
      <c r="G955" s="2"/>
      <c r="H955" s="4"/>
      <c r="I955" s="4"/>
      <c r="J955" s="13"/>
      <c r="K955" s="2"/>
    </row>
    <row r="956" spans="1:11" x14ac:dyDescent="0.3">
      <c r="A956" s="10"/>
      <c r="B956" s="6"/>
      <c r="C956" s="4"/>
      <c r="D956" s="4"/>
      <c r="E956" s="4"/>
      <c r="F956" s="4"/>
      <c r="G956" s="2"/>
      <c r="H956" s="4"/>
      <c r="I956" s="4"/>
      <c r="J956" s="13"/>
      <c r="K956" s="2"/>
    </row>
    <row r="957" spans="1:11" x14ac:dyDescent="0.3">
      <c r="A957" s="10"/>
      <c r="B957" s="6"/>
      <c r="C957" s="4"/>
      <c r="D957" s="4"/>
      <c r="E957" s="4"/>
      <c r="F957" s="4"/>
      <c r="G957" s="2"/>
      <c r="H957" s="4"/>
      <c r="I957" s="4"/>
      <c r="J957" s="13"/>
      <c r="K957" s="2"/>
    </row>
    <row r="958" spans="1:11" x14ac:dyDescent="0.3">
      <c r="A958" s="10"/>
      <c r="B958" s="6"/>
      <c r="C958" s="4"/>
      <c r="D958" s="4"/>
      <c r="E958" s="4"/>
      <c r="F958" s="4"/>
      <c r="G958" s="2"/>
      <c r="H958" s="4"/>
      <c r="I958" s="4"/>
      <c r="J958" s="13"/>
      <c r="K958" s="2"/>
    </row>
    <row r="959" spans="1:11" x14ac:dyDescent="0.3">
      <c r="A959" s="10"/>
      <c r="B959" s="6"/>
      <c r="C959" s="4"/>
      <c r="D959" s="4"/>
      <c r="E959" s="4"/>
      <c r="F959" s="4"/>
      <c r="G959" s="2"/>
      <c r="H959" s="4"/>
      <c r="I959" s="4"/>
      <c r="J959" s="13"/>
      <c r="K959" s="2"/>
    </row>
    <row r="960" spans="1:11" x14ac:dyDescent="0.3">
      <c r="A960" s="10"/>
      <c r="B960" s="6"/>
      <c r="C960" s="4"/>
      <c r="D960" s="4"/>
      <c r="E960" s="4"/>
      <c r="F960" s="4"/>
      <c r="G960" s="2"/>
      <c r="H960" s="4"/>
      <c r="I960" s="4"/>
      <c r="J960" s="13"/>
      <c r="K960" s="2"/>
    </row>
    <row r="961" spans="1:11" x14ac:dyDescent="0.3">
      <c r="A961" s="10"/>
      <c r="B961" s="6"/>
      <c r="C961" s="4"/>
      <c r="D961" s="4"/>
      <c r="E961" s="4"/>
      <c r="F961" s="4"/>
      <c r="G961" s="2"/>
      <c r="H961" s="4"/>
      <c r="I961" s="4"/>
      <c r="J961" s="13"/>
      <c r="K961" s="2"/>
    </row>
    <row r="962" spans="1:11" x14ac:dyDescent="0.3">
      <c r="A962" s="10"/>
      <c r="B962" s="6"/>
      <c r="C962" s="4"/>
      <c r="D962" s="4"/>
      <c r="E962" s="4"/>
      <c r="F962" s="4"/>
      <c r="G962" s="2"/>
      <c r="H962" s="4"/>
      <c r="I962" s="4"/>
      <c r="J962" s="13"/>
      <c r="K962" s="2"/>
    </row>
    <row r="963" spans="1:11" x14ac:dyDescent="0.3">
      <c r="A963" s="10"/>
      <c r="B963" s="6"/>
      <c r="C963" s="4"/>
      <c r="D963" s="4"/>
      <c r="E963" s="4"/>
      <c r="F963" s="4"/>
      <c r="G963" s="2"/>
      <c r="H963" s="4"/>
      <c r="I963" s="4"/>
      <c r="J963" s="13"/>
      <c r="K963" s="2"/>
    </row>
    <row r="964" spans="1:11" x14ac:dyDescent="0.3">
      <c r="A964" s="10"/>
      <c r="B964" s="6"/>
      <c r="C964" s="4"/>
      <c r="D964" s="4"/>
      <c r="E964" s="4"/>
      <c r="F964" s="4"/>
      <c r="G964" s="2"/>
      <c r="H964" s="4"/>
      <c r="I964" s="4"/>
      <c r="J964" s="13"/>
      <c r="K964" s="2"/>
    </row>
    <row r="965" spans="1:11" x14ac:dyDescent="0.3">
      <c r="A965" s="10"/>
      <c r="B965" s="6"/>
      <c r="C965" s="4"/>
      <c r="D965" s="4"/>
      <c r="E965" s="4"/>
      <c r="F965" s="4"/>
      <c r="G965" s="2"/>
      <c r="H965" s="4"/>
      <c r="I965" s="4"/>
      <c r="J965" s="13"/>
      <c r="K965" s="2"/>
    </row>
    <row r="966" spans="1:11" x14ac:dyDescent="0.3">
      <c r="A966" s="10"/>
      <c r="B966" s="6"/>
      <c r="C966" s="4"/>
      <c r="D966" s="4"/>
      <c r="E966" s="4"/>
      <c r="F966" s="4"/>
      <c r="G966" s="2"/>
      <c r="H966" s="4"/>
      <c r="I966" s="4"/>
      <c r="J966" s="13"/>
      <c r="K966" s="2"/>
    </row>
    <row r="967" spans="1:11" x14ac:dyDescent="0.3">
      <c r="A967" s="10"/>
      <c r="B967" s="6"/>
      <c r="C967" s="4"/>
      <c r="D967" s="4"/>
      <c r="E967" s="4"/>
      <c r="F967" s="4"/>
      <c r="G967" s="2"/>
      <c r="H967" s="4"/>
      <c r="I967" s="4"/>
      <c r="J967" s="13"/>
      <c r="K967" s="2"/>
    </row>
    <row r="968" spans="1:11" x14ac:dyDescent="0.3">
      <c r="A968" s="10"/>
      <c r="B968" s="6"/>
      <c r="C968" s="4"/>
      <c r="D968" s="4"/>
      <c r="E968" s="4"/>
      <c r="F968" s="4"/>
      <c r="G968" s="2"/>
      <c r="H968" s="4"/>
      <c r="I968" s="4"/>
      <c r="J968" s="13"/>
      <c r="K968" s="2"/>
    </row>
    <row r="969" spans="1:11" x14ac:dyDescent="0.3">
      <c r="A969" s="10"/>
      <c r="B969" s="6"/>
      <c r="C969" s="4"/>
      <c r="D969" s="4"/>
      <c r="E969" s="4"/>
      <c r="F969" s="4"/>
      <c r="G969" s="2"/>
      <c r="H969" s="4"/>
      <c r="I969" s="4"/>
      <c r="J969" s="13"/>
      <c r="K969" s="2"/>
    </row>
    <row r="970" spans="1:11" x14ac:dyDescent="0.3">
      <c r="A970" s="10"/>
      <c r="B970" s="6"/>
      <c r="C970" s="4"/>
      <c r="D970" s="4"/>
      <c r="E970" s="4"/>
      <c r="F970" s="4"/>
      <c r="G970" s="2"/>
      <c r="H970" s="4"/>
      <c r="I970" s="4"/>
      <c r="J970" s="13"/>
      <c r="K970" s="2"/>
    </row>
    <row r="971" spans="1:11" x14ac:dyDescent="0.3">
      <c r="A971" s="10"/>
      <c r="B971" s="6"/>
      <c r="C971" s="4"/>
      <c r="D971" s="4"/>
      <c r="E971" s="4"/>
      <c r="F971" s="4"/>
      <c r="G971" s="2"/>
      <c r="H971" s="4"/>
      <c r="I971" s="4"/>
      <c r="J971" s="13"/>
      <c r="K971" s="2"/>
    </row>
    <row r="972" spans="1:11" x14ac:dyDescent="0.3">
      <c r="A972" s="10"/>
      <c r="B972" s="6"/>
      <c r="C972" s="4"/>
      <c r="D972" s="4"/>
      <c r="E972" s="4"/>
      <c r="F972" s="4"/>
      <c r="G972" s="2"/>
      <c r="H972" s="4"/>
      <c r="I972" s="4"/>
      <c r="J972" s="13"/>
      <c r="K972" s="2"/>
    </row>
    <row r="973" spans="1:11" x14ac:dyDescent="0.3">
      <c r="A973" s="10"/>
      <c r="B973" s="6"/>
      <c r="C973" s="4"/>
      <c r="D973" s="4"/>
      <c r="E973" s="4"/>
      <c r="F973" s="4"/>
      <c r="G973" s="2"/>
      <c r="H973" s="4"/>
      <c r="I973" s="4"/>
      <c r="J973" s="13"/>
      <c r="K973" s="2"/>
    </row>
    <row r="974" spans="1:11" x14ac:dyDescent="0.3">
      <c r="A974" s="10"/>
      <c r="B974" s="6"/>
      <c r="C974" s="4"/>
      <c r="D974" s="4"/>
      <c r="E974" s="4"/>
      <c r="F974" s="4"/>
      <c r="G974" s="2"/>
      <c r="H974" s="4"/>
      <c r="I974" s="4"/>
      <c r="J974" s="13"/>
      <c r="K974" s="2"/>
    </row>
    <row r="975" spans="1:11" x14ac:dyDescent="0.3">
      <c r="A975" s="10"/>
      <c r="B975" s="6"/>
      <c r="C975" s="4"/>
      <c r="D975" s="4"/>
      <c r="E975" s="4"/>
      <c r="F975" s="4"/>
      <c r="G975" s="2"/>
      <c r="H975" s="4"/>
      <c r="I975" s="4"/>
      <c r="J975" s="13"/>
      <c r="K975" s="2"/>
    </row>
    <row r="976" spans="1:11" x14ac:dyDescent="0.3">
      <c r="A976" s="10"/>
      <c r="B976" s="6"/>
      <c r="C976" s="4"/>
      <c r="D976" s="4"/>
      <c r="E976" s="4"/>
      <c r="F976" s="4"/>
      <c r="G976" s="2"/>
      <c r="H976" s="4"/>
      <c r="I976" s="4"/>
      <c r="J976" s="13"/>
      <c r="K976" s="2"/>
    </row>
    <row r="977" spans="1:11" x14ac:dyDescent="0.3">
      <c r="A977" s="10"/>
      <c r="B977" s="6"/>
      <c r="C977" s="4"/>
      <c r="D977" s="4"/>
      <c r="E977" s="4"/>
      <c r="F977" s="4"/>
      <c r="G977" s="2"/>
      <c r="H977" s="4"/>
      <c r="I977" s="4"/>
      <c r="J977" s="13"/>
      <c r="K977" s="2"/>
    </row>
    <row r="978" spans="1:11" x14ac:dyDescent="0.3">
      <c r="A978" s="10"/>
      <c r="B978" s="6"/>
      <c r="C978" s="4"/>
      <c r="D978" s="4"/>
      <c r="E978" s="4"/>
      <c r="F978" s="4"/>
      <c r="G978" s="2"/>
      <c r="H978" s="4"/>
      <c r="I978" s="4"/>
      <c r="J978" s="13"/>
      <c r="K978" s="2"/>
    </row>
    <row r="979" spans="1:11" x14ac:dyDescent="0.3">
      <c r="A979" s="10"/>
      <c r="B979" s="6"/>
      <c r="C979" s="4"/>
      <c r="D979" s="4"/>
      <c r="E979" s="4"/>
      <c r="F979" s="4"/>
      <c r="G979" s="2"/>
      <c r="H979" s="4"/>
      <c r="I979" s="4"/>
      <c r="J979" s="13"/>
      <c r="K979" s="2"/>
    </row>
    <row r="980" spans="1:11" x14ac:dyDescent="0.3">
      <c r="A980" s="10"/>
      <c r="B980" s="6"/>
      <c r="C980" s="4"/>
      <c r="D980" s="4"/>
      <c r="E980" s="4"/>
      <c r="F980" s="4"/>
      <c r="G980" s="2"/>
      <c r="H980" s="4"/>
      <c r="I980" s="4"/>
      <c r="J980" s="13"/>
      <c r="K980" s="2"/>
    </row>
    <row r="981" spans="1:11" x14ac:dyDescent="0.3">
      <c r="A981" s="10"/>
      <c r="B981" s="6"/>
      <c r="C981" s="4"/>
      <c r="D981" s="4"/>
      <c r="E981" s="4"/>
      <c r="F981" s="4"/>
      <c r="G981" s="2"/>
      <c r="H981" s="4"/>
      <c r="I981" s="4"/>
      <c r="J981" s="13"/>
      <c r="K981" s="2"/>
    </row>
    <row r="982" spans="1:11" x14ac:dyDescent="0.3">
      <c r="A982" s="10"/>
      <c r="B982" s="6"/>
      <c r="C982" s="4"/>
      <c r="D982" s="4"/>
      <c r="E982" s="4"/>
      <c r="F982" s="4"/>
      <c r="G982" s="2"/>
      <c r="H982" s="4"/>
      <c r="I982" s="4"/>
      <c r="J982" s="13"/>
      <c r="K982" s="2"/>
    </row>
    <row r="983" spans="1:11" x14ac:dyDescent="0.3">
      <c r="A983" s="10"/>
      <c r="B983" s="6"/>
      <c r="C983" s="4"/>
      <c r="D983" s="4"/>
      <c r="E983" s="4"/>
      <c r="F983" s="4"/>
      <c r="G983" s="2"/>
      <c r="H983" s="4"/>
      <c r="I983" s="4"/>
      <c r="J983" s="13"/>
      <c r="K983" s="2"/>
    </row>
    <row r="984" spans="1:11" x14ac:dyDescent="0.3">
      <c r="A984" s="10"/>
      <c r="B984" s="6"/>
      <c r="C984" s="4"/>
      <c r="D984" s="4"/>
      <c r="E984" s="4"/>
      <c r="F984" s="4"/>
      <c r="G984" s="2"/>
      <c r="H984" s="4"/>
      <c r="I984" s="4"/>
      <c r="J984" s="13"/>
      <c r="K984" s="2"/>
    </row>
    <row r="985" spans="1:11" x14ac:dyDescent="0.3">
      <c r="A985" s="10"/>
      <c r="B985" s="6"/>
      <c r="C985" s="4"/>
      <c r="D985" s="4"/>
      <c r="E985" s="4"/>
      <c r="F985" s="4"/>
      <c r="G985" s="2"/>
      <c r="H985" s="4"/>
      <c r="I985" s="4"/>
      <c r="J985" s="13"/>
      <c r="K985" s="2"/>
    </row>
    <row r="986" spans="1:11" x14ac:dyDescent="0.3">
      <c r="A986" s="10"/>
      <c r="B986" s="6"/>
      <c r="C986" s="4"/>
      <c r="D986" s="4"/>
      <c r="E986" s="4"/>
      <c r="F986" s="4"/>
      <c r="G986" s="2"/>
      <c r="H986" s="4"/>
      <c r="I986" s="4"/>
      <c r="J986" s="13"/>
      <c r="K986" s="2"/>
    </row>
    <row r="987" spans="1:11" x14ac:dyDescent="0.3">
      <c r="A987" s="10"/>
      <c r="B987" s="6"/>
      <c r="C987" s="4"/>
      <c r="D987" s="4"/>
      <c r="E987" s="4"/>
      <c r="F987" s="4"/>
      <c r="G987" s="2"/>
      <c r="H987" s="4"/>
      <c r="I987" s="4"/>
      <c r="J987" s="13"/>
      <c r="K987" s="2"/>
    </row>
    <row r="988" spans="1:11" x14ac:dyDescent="0.3">
      <c r="A988" s="10"/>
      <c r="B988" s="6"/>
      <c r="C988" s="4"/>
      <c r="D988" s="4"/>
      <c r="E988" s="4"/>
      <c r="F988" s="4"/>
      <c r="G988" s="2"/>
      <c r="H988" s="4"/>
      <c r="I988" s="4"/>
      <c r="J988" s="13"/>
      <c r="K988" s="2"/>
    </row>
    <row r="989" spans="1:11" x14ac:dyDescent="0.3">
      <c r="A989" s="10"/>
      <c r="B989" s="6"/>
      <c r="C989" s="4"/>
      <c r="D989" s="4"/>
      <c r="E989" s="4"/>
      <c r="F989" s="4"/>
      <c r="G989" s="2"/>
      <c r="H989" s="4"/>
      <c r="I989" s="4"/>
      <c r="J989" s="13"/>
      <c r="K989" s="2"/>
    </row>
    <row r="990" spans="1:11" x14ac:dyDescent="0.3">
      <c r="A990" s="10"/>
      <c r="B990" s="6"/>
      <c r="C990" s="4"/>
      <c r="D990" s="4"/>
      <c r="E990" s="4"/>
      <c r="F990" s="4"/>
      <c r="G990" s="2"/>
      <c r="H990" s="4"/>
      <c r="I990" s="4"/>
      <c r="J990" s="13"/>
      <c r="K990" s="2"/>
    </row>
    <row r="991" spans="1:11" x14ac:dyDescent="0.3">
      <c r="A991" s="10"/>
      <c r="B991" s="6"/>
      <c r="C991" s="4"/>
      <c r="D991" s="4"/>
      <c r="E991" s="4"/>
      <c r="F991" s="4"/>
      <c r="G991" s="2"/>
      <c r="H991" s="4"/>
      <c r="I991" s="4"/>
      <c r="J991" s="13"/>
      <c r="K991" s="2"/>
    </row>
    <row r="992" spans="1:11" x14ac:dyDescent="0.3">
      <c r="A992" s="10"/>
      <c r="B992" s="6"/>
      <c r="C992" s="4"/>
      <c r="D992" s="4"/>
      <c r="E992" s="4"/>
      <c r="F992" s="4"/>
      <c r="G992" s="2"/>
      <c r="H992" s="4"/>
      <c r="I992" s="4"/>
      <c r="J992" s="13"/>
      <c r="K992" s="2"/>
    </row>
    <row r="993" spans="1:11" x14ac:dyDescent="0.3">
      <c r="A993" s="10"/>
      <c r="B993" s="6"/>
      <c r="C993" s="4"/>
      <c r="D993" s="4"/>
      <c r="E993" s="4"/>
      <c r="F993" s="4"/>
      <c r="G993" s="2"/>
      <c r="H993" s="4"/>
      <c r="I993" s="4"/>
      <c r="J993" s="13"/>
      <c r="K993" s="2"/>
    </row>
    <row r="994" spans="1:11" x14ac:dyDescent="0.3">
      <c r="A994" s="10"/>
      <c r="B994" s="6"/>
      <c r="C994" s="4"/>
      <c r="D994" s="4"/>
      <c r="E994" s="4"/>
      <c r="F994" s="4"/>
      <c r="G994" s="2"/>
      <c r="H994" s="4"/>
      <c r="I994" s="4"/>
      <c r="J994" s="13"/>
      <c r="K994" s="2"/>
    </row>
    <row r="995" spans="1:11" x14ac:dyDescent="0.3">
      <c r="A995" s="10"/>
      <c r="B995" s="6"/>
      <c r="C995" s="4"/>
      <c r="D995" s="4"/>
      <c r="E995" s="4"/>
      <c r="F995" s="4"/>
      <c r="G995" s="2"/>
      <c r="H995" s="4"/>
      <c r="I995" s="4"/>
      <c r="J995" s="13"/>
      <c r="K995" s="2"/>
    </row>
    <row r="996" spans="1:11" x14ac:dyDescent="0.3">
      <c r="A996" s="10"/>
      <c r="B996" s="6"/>
      <c r="C996" s="4"/>
      <c r="D996" s="4"/>
      <c r="E996" s="4"/>
      <c r="F996" s="4"/>
      <c r="G996" s="2"/>
      <c r="H996" s="4"/>
      <c r="I996" s="4"/>
      <c r="J996" s="13"/>
      <c r="K996" s="2"/>
    </row>
    <row r="997" spans="1:11" x14ac:dyDescent="0.3">
      <c r="A997" s="10"/>
      <c r="B997" s="6"/>
      <c r="C997" s="4"/>
      <c r="D997" s="4"/>
      <c r="E997" s="4"/>
      <c r="F997" s="4"/>
      <c r="G997" s="2"/>
      <c r="H997" s="4"/>
      <c r="I997" s="4"/>
      <c r="J997" s="13"/>
      <c r="K997" s="2"/>
    </row>
    <row r="998" spans="1:11" x14ac:dyDescent="0.3">
      <c r="A998" s="10"/>
      <c r="B998" s="6"/>
      <c r="C998" s="4"/>
      <c r="D998" s="4"/>
      <c r="E998" s="4"/>
      <c r="F998" s="4"/>
      <c r="G998" s="2"/>
      <c r="H998" s="4"/>
      <c r="I998" s="4"/>
      <c r="J998" s="13"/>
      <c r="K998" s="2"/>
    </row>
    <row r="999" spans="1:11" x14ac:dyDescent="0.3">
      <c r="A999" s="10"/>
      <c r="B999" s="6"/>
      <c r="C999" s="4"/>
      <c r="D999" s="4"/>
      <c r="E999" s="4"/>
      <c r="F999" s="4"/>
      <c r="G999" s="2"/>
      <c r="H999" s="4"/>
      <c r="I999" s="4"/>
      <c r="J999" s="13"/>
      <c r="K999" s="2"/>
    </row>
    <row r="1000" spans="1:11" x14ac:dyDescent="0.3">
      <c r="A1000" s="10"/>
      <c r="B1000" s="6"/>
      <c r="C1000" s="4"/>
      <c r="D1000" s="4"/>
      <c r="E1000" s="4"/>
      <c r="F1000" s="4"/>
      <c r="G1000" s="2"/>
      <c r="H1000" s="4"/>
      <c r="I1000" s="4"/>
      <c r="J1000" s="13"/>
      <c r="K1000" s="2"/>
    </row>
    <row r="1001" spans="1:11" x14ac:dyDescent="0.3">
      <c r="A1001" s="10"/>
      <c r="B1001" s="6"/>
      <c r="C1001" s="4"/>
      <c r="D1001" s="4"/>
      <c r="E1001" s="4"/>
      <c r="F1001" s="4"/>
      <c r="G1001" s="2"/>
      <c r="H1001" s="4"/>
      <c r="I1001" s="4"/>
      <c r="J1001" s="13"/>
      <c r="K1001" s="2"/>
    </row>
    <row r="1002" spans="1:11" x14ac:dyDescent="0.3">
      <c r="A1002" s="10"/>
      <c r="B1002" s="6"/>
      <c r="C1002" s="4"/>
      <c r="D1002" s="4"/>
      <c r="E1002" s="4"/>
      <c r="F1002" s="4"/>
      <c r="G1002" s="2"/>
      <c r="H1002" s="4"/>
      <c r="I1002" s="4"/>
      <c r="J1002" s="13"/>
      <c r="K1002" s="2"/>
    </row>
    <row r="1003" spans="1:11" x14ac:dyDescent="0.3">
      <c r="A1003" s="10"/>
      <c r="B1003" s="6"/>
      <c r="C1003" s="4"/>
      <c r="D1003" s="4"/>
      <c r="E1003" s="4"/>
      <c r="F1003" s="4"/>
      <c r="G1003" s="2"/>
      <c r="H1003" s="4"/>
      <c r="I1003" s="4"/>
      <c r="J1003" s="13"/>
      <c r="K1003" s="2"/>
    </row>
    <row r="1004" spans="1:11" x14ac:dyDescent="0.3">
      <c r="A1004" s="10"/>
      <c r="B1004" s="6"/>
      <c r="C1004" s="4"/>
      <c r="D1004" s="4"/>
      <c r="E1004" s="4"/>
      <c r="F1004" s="4"/>
      <c r="G1004" s="2"/>
      <c r="H1004" s="4"/>
      <c r="I1004" s="4"/>
      <c r="J1004" s="13"/>
      <c r="K1004" s="2"/>
    </row>
    <row r="1005" spans="1:11" x14ac:dyDescent="0.3">
      <c r="A1005" s="10"/>
      <c r="B1005" s="6"/>
      <c r="C1005" s="4"/>
      <c r="D1005" s="4"/>
      <c r="E1005" s="4"/>
      <c r="F1005" s="4"/>
      <c r="G1005" s="2"/>
      <c r="H1005" s="4"/>
      <c r="I1005" s="4"/>
      <c r="J1005" s="13"/>
      <c r="K1005" s="2"/>
    </row>
    <row r="1006" spans="1:11" x14ac:dyDescent="0.3">
      <c r="A1006" s="10"/>
      <c r="B1006" s="6"/>
      <c r="C1006" s="4"/>
      <c r="D1006" s="4"/>
      <c r="E1006" s="4"/>
      <c r="F1006" s="4"/>
      <c r="G1006" s="2"/>
      <c r="H1006" s="4"/>
      <c r="I1006" s="4"/>
      <c r="J1006" s="13"/>
      <c r="K1006" s="2"/>
    </row>
    <row r="1007" spans="1:11" x14ac:dyDescent="0.3">
      <c r="A1007" s="10"/>
      <c r="B1007" s="6"/>
      <c r="C1007" s="4"/>
      <c r="D1007" s="4"/>
      <c r="E1007" s="4"/>
      <c r="F1007" s="4"/>
      <c r="G1007" s="2"/>
      <c r="H1007" s="4"/>
      <c r="I1007" s="4"/>
      <c r="J1007" s="13"/>
      <c r="K1007" s="2"/>
    </row>
    <row r="1008" spans="1:11" x14ac:dyDescent="0.3">
      <c r="A1008" s="10"/>
      <c r="B1008" s="6"/>
      <c r="C1008" s="4"/>
      <c r="D1008" s="4"/>
      <c r="E1008" s="4"/>
      <c r="F1008" s="4"/>
      <c r="G1008" s="2"/>
      <c r="H1008" s="4"/>
      <c r="I1008" s="4"/>
      <c r="J1008" s="13"/>
      <c r="K1008" s="2"/>
    </row>
    <row r="1009" spans="1:11" x14ac:dyDescent="0.3">
      <c r="A1009" s="10"/>
      <c r="B1009" s="6"/>
      <c r="C1009" s="4"/>
      <c r="D1009" s="4"/>
      <c r="E1009" s="4"/>
      <c r="F1009" s="4"/>
      <c r="G1009" s="2"/>
      <c r="H1009" s="4"/>
      <c r="I1009" s="4"/>
      <c r="J1009" s="13"/>
      <c r="K1009" s="2"/>
    </row>
    <row r="1010" spans="1:11" x14ac:dyDescent="0.3">
      <c r="A1010" s="10"/>
      <c r="B1010" s="6"/>
      <c r="C1010" s="4"/>
      <c r="D1010" s="4"/>
      <c r="E1010" s="4"/>
      <c r="F1010" s="4"/>
      <c r="G1010" s="2"/>
      <c r="H1010" s="4"/>
      <c r="I1010" s="4"/>
      <c r="J1010" s="13"/>
      <c r="K1010" s="2"/>
    </row>
    <row r="1011" spans="1:11" x14ac:dyDescent="0.3">
      <c r="A1011" s="10"/>
      <c r="B1011" s="6"/>
      <c r="C1011" s="4"/>
      <c r="D1011" s="4"/>
      <c r="E1011" s="4"/>
      <c r="F1011" s="4"/>
      <c r="G1011" s="2"/>
      <c r="H1011" s="4"/>
      <c r="I1011" s="4"/>
      <c r="J1011" s="13"/>
      <c r="K1011" s="2"/>
    </row>
    <row r="1012" spans="1:11" x14ac:dyDescent="0.3">
      <c r="A1012" s="10"/>
      <c r="B1012" s="6"/>
      <c r="C1012" s="4"/>
      <c r="D1012" s="4"/>
      <c r="E1012" s="4"/>
      <c r="F1012" s="4"/>
      <c r="G1012" s="2"/>
      <c r="H1012" s="4"/>
      <c r="I1012" s="4"/>
      <c r="J1012" s="13"/>
      <c r="K1012" s="2"/>
    </row>
    <row r="1013" spans="1:11" x14ac:dyDescent="0.3">
      <c r="A1013" s="10"/>
      <c r="B1013" s="6"/>
      <c r="C1013" s="4"/>
      <c r="D1013" s="4"/>
      <c r="E1013" s="4"/>
      <c r="F1013" s="4"/>
      <c r="G1013" s="2"/>
      <c r="H1013" s="4"/>
      <c r="I1013" s="4"/>
      <c r="J1013" s="13"/>
      <c r="K1013" s="2"/>
    </row>
    <row r="1014" spans="1:11" x14ac:dyDescent="0.3">
      <c r="A1014" s="10"/>
      <c r="B1014" s="6"/>
      <c r="C1014" s="4"/>
      <c r="D1014" s="4"/>
      <c r="E1014" s="4"/>
      <c r="F1014" s="4"/>
      <c r="G1014" s="2"/>
      <c r="H1014" s="4"/>
      <c r="I1014" s="4"/>
      <c r="J1014" s="13"/>
      <c r="K1014" s="2"/>
    </row>
    <row r="1015" spans="1:11" x14ac:dyDescent="0.3">
      <c r="A1015" s="10"/>
      <c r="B1015" s="6"/>
      <c r="C1015" s="4"/>
      <c r="D1015" s="4"/>
      <c r="E1015" s="4"/>
      <c r="F1015" s="4"/>
      <c r="G1015" s="2"/>
      <c r="H1015" s="4"/>
      <c r="I1015" s="4"/>
      <c r="J1015" s="13"/>
      <c r="K1015" s="2"/>
    </row>
    <row r="1016" spans="1:11" x14ac:dyDescent="0.3">
      <c r="A1016" s="10"/>
      <c r="B1016" s="6"/>
      <c r="C1016" s="4"/>
      <c r="D1016" s="4"/>
      <c r="E1016" s="4"/>
      <c r="F1016" s="4"/>
      <c r="G1016" s="2"/>
      <c r="H1016" s="4"/>
      <c r="I1016" s="4"/>
      <c r="J1016" s="13"/>
      <c r="K1016" s="2"/>
    </row>
    <row r="1017" spans="1:11" x14ac:dyDescent="0.3">
      <c r="A1017" s="10"/>
      <c r="B1017" s="6"/>
      <c r="C1017" s="4"/>
      <c r="D1017" s="4"/>
      <c r="E1017" s="4"/>
      <c r="F1017" s="4"/>
      <c r="G1017" s="2"/>
      <c r="H1017" s="4"/>
      <c r="I1017" s="4"/>
      <c r="J1017" s="13"/>
      <c r="K1017" s="2"/>
    </row>
    <row r="1018" spans="1:11" x14ac:dyDescent="0.3">
      <c r="A1018" s="10"/>
      <c r="B1018" s="6"/>
      <c r="C1018" s="4"/>
      <c r="D1018" s="4"/>
      <c r="E1018" s="4"/>
      <c r="F1018" s="4"/>
      <c r="G1018" s="2"/>
      <c r="H1018" s="4"/>
      <c r="I1018" s="4"/>
      <c r="J1018" s="13"/>
      <c r="K1018" s="2"/>
    </row>
    <row r="1019" spans="1:11" x14ac:dyDescent="0.3">
      <c r="A1019" s="10"/>
      <c r="B1019" s="6"/>
      <c r="C1019" s="4"/>
      <c r="D1019" s="4"/>
      <c r="E1019" s="4"/>
      <c r="F1019" s="4"/>
      <c r="G1019" s="2"/>
      <c r="H1019" s="4"/>
      <c r="I1019" s="4"/>
      <c r="J1019" s="13"/>
      <c r="K1019" s="2"/>
    </row>
    <row r="1020" spans="1:11" x14ac:dyDescent="0.3">
      <c r="A1020" s="10"/>
      <c r="B1020" s="6"/>
      <c r="C1020" s="4"/>
      <c r="D1020" s="4"/>
      <c r="E1020" s="4"/>
      <c r="F1020" s="4"/>
      <c r="G1020" s="2"/>
      <c r="H1020" s="4"/>
      <c r="I1020" s="4"/>
      <c r="J1020" s="13"/>
      <c r="K1020" s="2"/>
    </row>
    <row r="1021" spans="1:11" x14ac:dyDescent="0.3">
      <c r="A1021" s="10"/>
      <c r="B1021" s="6"/>
      <c r="C1021" s="4"/>
      <c r="D1021" s="4"/>
      <c r="E1021" s="4"/>
      <c r="F1021" s="4"/>
      <c r="G1021" s="2"/>
      <c r="H1021" s="4"/>
      <c r="I1021" s="4"/>
      <c r="J1021" s="13"/>
      <c r="K1021" s="2"/>
    </row>
    <row r="1022" spans="1:11" x14ac:dyDescent="0.3">
      <c r="A1022" s="10"/>
      <c r="B1022" s="6"/>
      <c r="C1022" s="4"/>
      <c r="D1022" s="4"/>
      <c r="E1022" s="4"/>
      <c r="F1022" s="4"/>
      <c r="G1022" s="2"/>
      <c r="H1022" s="4"/>
      <c r="I1022" s="4"/>
      <c r="J1022" s="13"/>
      <c r="K1022" s="2"/>
    </row>
    <row r="1023" spans="1:11" x14ac:dyDescent="0.3">
      <c r="A1023" s="10"/>
      <c r="B1023" s="6"/>
      <c r="C1023" s="4"/>
      <c r="D1023" s="4"/>
      <c r="E1023" s="4"/>
      <c r="F1023" s="4"/>
      <c r="G1023" s="2"/>
      <c r="H1023" s="4"/>
      <c r="I1023" s="4"/>
      <c r="J1023" s="13"/>
      <c r="K1023" s="2"/>
    </row>
    <row r="1024" spans="1:11" x14ac:dyDescent="0.3">
      <c r="A1024" s="10"/>
      <c r="B1024" s="6"/>
      <c r="C1024" s="4"/>
      <c r="D1024" s="4"/>
      <c r="E1024" s="4"/>
      <c r="F1024" s="4"/>
      <c r="G1024" s="2"/>
      <c r="H1024" s="4"/>
      <c r="I1024" s="4"/>
      <c r="J1024" s="13"/>
      <c r="K1024" s="2"/>
    </row>
    <row r="1025" spans="1:11" x14ac:dyDescent="0.3">
      <c r="A1025" s="10"/>
      <c r="B1025" s="6"/>
      <c r="C1025" s="4"/>
      <c r="D1025" s="4"/>
      <c r="E1025" s="4"/>
      <c r="F1025" s="4"/>
      <c r="G1025" s="2"/>
      <c r="H1025" s="4"/>
      <c r="I1025" s="4"/>
      <c r="J1025" s="13"/>
      <c r="K1025" s="2"/>
    </row>
    <row r="1026" spans="1:11" x14ac:dyDescent="0.3">
      <c r="A1026" s="10"/>
      <c r="B1026" s="6"/>
      <c r="C1026" s="4"/>
      <c r="D1026" s="4"/>
      <c r="E1026" s="4"/>
      <c r="F1026" s="4"/>
      <c r="G1026" s="2"/>
      <c r="H1026" s="4"/>
      <c r="I1026" s="4"/>
      <c r="J1026" s="13"/>
      <c r="K1026" s="2"/>
    </row>
    <row r="1027" spans="1:11" x14ac:dyDescent="0.3">
      <c r="A1027" s="10"/>
      <c r="B1027" s="6"/>
      <c r="C1027" s="4"/>
      <c r="D1027" s="4"/>
      <c r="E1027" s="4"/>
      <c r="F1027" s="4"/>
      <c r="G1027" s="2"/>
      <c r="H1027" s="4"/>
      <c r="I1027" s="4"/>
      <c r="J1027" s="13"/>
      <c r="K1027" s="2"/>
    </row>
    <row r="1028" spans="1:11" x14ac:dyDescent="0.3">
      <c r="A1028" s="10"/>
      <c r="B1028" s="6"/>
      <c r="C1028" s="4"/>
      <c r="D1028" s="4"/>
      <c r="E1028" s="4"/>
      <c r="F1028" s="4"/>
      <c r="G1028" s="2"/>
      <c r="H1028" s="4"/>
      <c r="I1028" s="4"/>
      <c r="J1028" s="13"/>
      <c r="K1028" s="2"/>
    </row>
    <row r="1029" spans="1:11" x14ac:dyDescent="0.3">
      <c r="A1029" s="10"/>
      <c r="B1029" s="6"/>
      <c r="C1029" s="4"/>
      <c r="D1029" s="4"/>
      <c r="E1029" s="4"/>
      <c r="F1029" s="4"/>
      <c r="G1029" s="2"/>
      <c r="H1029" s="4"/>
      <c r="I1029" s="4"/>
      <c r="J1029" s="13"/>
      <c r="K1029" s="2"/>
    </row>
    <row r="1030" spans="1:11" x14ac:dyDescent="0.3">
      <c r="A1030" s="10"/>
      <c r="B1030" s="6"/>
      <c r="C1030" s="4"/>
      <c r="D1030" s="4"/>
      <c r="E1030" s="4"/>
      <c r="F1030" s="4"/>
      <c r="G1030" s="2"/>
      <c r="H1030" s="4"/>
      <c r="I1030" s="4"/>
      <c r="J1030" s="13"/>
      <c r="K1030" s="2"/>
    </row>
    <row r="1031" spans="1:11" x14ac:dyDescent="0.3">
      <c r="A1031" s="10"/>
      <c r="B1031" s="6"/>
      <c r="C1031" s="4"/>
      <c r="D1031" s="4"/>
      <c r="E1031" s="4"/>
      <c r="F1031" s="4"/>
      <c r="G1031" s="2"/>
      <c r="H1031" s="4"/>
      <c r="I1031" s="4"/>
      <c r="J1031" s="13"/>
      <c r="K1031" s="2"/>
    </row>
    <row r="1032" spans="1:11" x14ac:dyDescent="0.3">
      <c r="A1032" s="10"/>
      <c r="B1032" s="6"/>
      <c r="C1032" s="4"/>
      <c r="D1032" s="4"/>
      <c r="E1032" s="4"/>
      <c r="F1032" s="4"/>
      <c r="G1032" s="2"/>
      <c r="H1032" s="4"/>
      <c r="I1032" s="4"/>
      <c r="J1032" s="13"/>
      <c r="K1032" s="2"/>
    </row>
    <row r="1033" spans="1:11" x14ac:dyDescent="0.3">
      <c r="A1033" s="10"/>
      <c r="B1033" s="6"/>
      <c r="C1033" s="4"/>
      <c r="D1033" s="4"/>
      <c r="E1033" s="4"/>
      <c r="F1033" s="4"/>
      <c r="G1033" s="2"/>
      <c r="H1033" s="4"/>
      <c r="I1033" s="4"/>
      <c r="J1033" s="13"/>
      <c r="K1033" s="2"/>
    </row>
    <row r="1034" spans="1:11" x14ac:dyDescent="0.3">
      <c r="A1034" s="10"/>
      <c r="B1034" s="6"/>
      <c r="C1034" s="4"/>
      <c r="D1034" s="4"/>
      <c r="E1034" s="4"/>
      <c r="F1034" s="4"/>
      <c r="G1034" s="2"/>
      <c r="H1034" s="4"/>
      <c r="I1034" s="4"/>
      <c r="J1034" s="13"/>
      <c r="K1034" s="2"/>
    </row>
    <row r="1035" spans="1:11" x14ac:dyDescent="0.3">
      <c r="A1035" s="10"/>
      <c r="B1035" s="6"/>
      <c r="C1035" s="4"/>
      <c r="D1035" s="4"/>
      <c r="E1035" s="4"/>
      <c r="F1035" s="4"/>
      <c r="G1035" s="2"/>
      <c r="H1035" s="4"/>
      <c r="I1035" s="4"/>
      <c r="J1035" s="13"/>
      <c r="K1035" s="2"/>
    </row>
    <row r="1036" spans="1:11" x14ac:dyDescent="0.3">
      <c r="A1036" s="10"/>
      <c r="B1036" s="6"/>
      <c r="C1036" s="4"/>
      <c r="D1036" s="4"/>
      <c r="E1036" s="4"/>
      <c r="F1036" s="4"/>
      <c r="G1036" s="2"/>
      <c r="H1036" s="4"/>
      <c r="I1036" s="4"/>
      <c r="J1036" s="13"/>
      <c r="K1036" s="2"/>
    </row>
    <row r="1037" spans="1:11" x14ac:dyDescent="0.3">
      <c r="A1037" s="10"/>
      <c r="B1037" s="6"/>
      <c r="C1037" s="4"/>
      <c r="D1037" s="4"/>
      <c r="E1037" s="4"/>
      <c r="F1037" s="4"/>
      <c r="G1037" s="2"/>
      <c r="H1037" s="4"/>
      <c r="I1037" s="4"/>
      <c r="J1037" s="13"/>
      <c r="K1037" s="2"/>
    </row>
    <row r="1038" spans="1:11" x14ac:dyDescent="0.3">
      <c r="A1038" s="10"/>
      <c r="B1038" s="6"/>
      <c r="C1038" s="4"/>
      <c r="D1038" s="4"/>
      <c r="E1038" s="4"/>
      <c r="F1038" s="4"/>
      <c r="G1038" s="2"/>
      <c r="H1038" s="4"/>
      <c r="I1038" s="4"/>
      <c r="J1038" s="13"/>
      <c r="K1038" s="2"/>
    </row>
    <row r="1039" spans="1:11" x14ac:dyDescent="0.3">
      <c r="A1039" s="10"/>
      <c r="B1039" s="6"/>
      <c r="C1039" s="4"/>
      <c r="D1039" s="4"/>
      <c r="E1039" s="4"/>
      <c r="F1039" s="4"/>
      <c r="G1039" s="2"/>
      <c r="H1039" s="4"/>
      <c r="I1039" s="4"/>
      <c r="J1039" s="13"/>
      <c r="K1039" s="2"/>
    </row>
    <row r="1040" spans="1:11" x14ac:dyDescent="0.3">
      <c r="A1040" s="10"/>
      <c r="B1040" s="6"/>
      <c r="C1040" s="4"/>
      <c r="D1040" s="4"/>
      <c r="E1040" s="4"/>
      <c r="F1040" s="4"/>
      <c r="G1040" s="2"/>
      <c r="H1040" s="4"/>
      <c r="I1040" s="4"/>
      <c r="J1040" s="13"/>
      <c r="K1040" s="2"/>
    </row>
    <row r="1041" spans="1:11" x14ac:dyDescent="0.3">
      <c r="A1041" s="10"/>
      <c r="B1041" s="6"/>
      <c r="C1041" s="4"/>
      <c r="D1041" s="4"/>
      <c r="E1041" s="4"/>
      <c r="F1041" s="4"/>
      <c r="G1041" s="2"/>
      <c r="H1041" s="4"/>
      <c r="I1041" s="4"/>
      <c r="J1041" s="13"/>
      <c r="K1041" s="2"/>
    </row>
    <row r="1042" spans="1:11" x14ac:dyDescent="0.3">
      <c r="A1042" s="10"/>
      <c r="B1042" s="6"/>
      <c r="C1042" s="4"/>
      <c r="D1042" s="4"/>
      <c r="E1042" s="4"/>
      <c r="F1042" s="4"/>
      <c r="G1042" s="2"/>
      <c r="H1042" s="4"/>
      <c r="I1042" s="4"/>
      <c r="J1042" s="13"/>
      <c r="K1042" s="2"/>
    </row>
    <row r="1043" spans="1:11" x14ac:dyDescent="0.3">
      <c r="A1043" s="10"/>
      <c r="B1043" s="6"/>
      <c r="C1043" s="4"/>
      <c r="D1043" s="4"/>
      <c r="E1043" s="4"/>
      <c r="F1043" s="4"/>
      <c r="G1043" s="2"/>
      <c r="H1043" s="4"/>
      <c r="I1043" s="4"/>
      <c r="J1043" s="13"/>
      <c r="K1043" s="2"/>
    </row>
    <row r="1044" spans="1:11" x14ac:dyDescent="0.3">
      <c r="A1044" s="10"/>
      <c r="B1044" s="6"/>
      <c r="C1044" s="4"/>
      <c r="D1044" s="4"/>
      <c r="E1044" s="4"/>
      <c r="F1044" s="4"/>
      <c r="G1044" s="2"/>
      <c r="H1044" s="4"/>
      <c r="I1044" s="4"/>
      <c r="J1044" s="13"/>
      <c r="K1044" s="2"/>
    </row>
    <row r="1045" spans="1:11" x14ac:dyDescent="0.3">
      <c r="A1045" s="10"/>
      <c r="B1045" s="6"/>
      <c r="C1045" s="4"/>
      <c r="D1045" s="4"/>
      <c r="E1045" s="4"/>
      <c r="F1045" s="4"/>
      <c r="G1045" s="2"/>
      <c r="H1045" s="4"/>
      <c r="I1045" s="4"/>
      <c r="J1045" s="13"/>
      <c r="K1045" s="2"/>
    </row>
    <row r="1046" spans="1:11" x14ac:dyDescent="0.3">
      <c r="A1046" s="10"/>
      <c r="B1046" s="6"/>
      <c r="C1046" s="4"/>
      <c r="D1046" s="4"/>
      <c r="E1046" s="4"/>
      <c r="F1046" s="4"/>
      <c r="G1046" s="2"/>
      <c r="H1046" s="4"/>
      <c r="I1046" s="4"/>
      <c r="J1046" s="13"/>
      <c r="K1046" s="2"/>
    </row>
    <row r="1047" spans="1:11" x14ac:dyDescent="0.3">
      <c r="A1047" s="10"/>
      <c r="B1047" s="6"/>
      <c r="C1047" s="4"/>
      <c r="D1047" s="4"/>
      <c r="E1047" s="4"/>
      <c r="F1047" s="4"/>
      <c r="G1047" s="2"/>
      <c r="H1047" s="4"/>
      <c r="I1047" s="4"/>
      <c r="J1047" s="13"/>
      <c r="K1047" s="2"/>
    </row>
    <row r="1048" spans="1:11" x14ac:dyDescent="0.3">
      <c r="A1048" s="10"/>
      <c r="B1048" s="6"/>
      <c r="C1048" s="4"/>
      <c r="D1048" s="4"/>
      <c r="E1048" s="4"/>
      <c r="F1048" s="4"/>
      <c r="G1048" s="2"/>
      <c r="H1048" s="4"/>
      <c r="I1048" s="4"/>
      <c r="J1048" s="13"/>
      <c r="K1048" s="2"/>
    </row>
    <row r="1049" spans="1:11" x14ac:dyDescent="0.3">
      <c r="A1049" s="10"/>
      <c r="B1049" s="6"/>
      <c r="C1049" s="4"/>
      <c r="D1049" s="4"/>
      <c r="E1049" s="4"/>
      <c r="F1049" s="4"/>
      <c r="G1049" s="2"/>
      <c r="H1049" s="4"/>
      <c r="I1049" s="4"/>
      <c r="J1049" s="13"/>
      <c r="K1049" s="2"/>
    </row>
    <row r="1050" spans="1:11" x14ac:dyDescent="0.3">
      <c r="A1050" s="10"/>
      <c r="B1050" s="6"/>
      <c r="C1050" s="4"/>
      <c r="D1050" s="4"/>
      <c r="E1050" s="4"/>
      <c r="F1050" s="4"/>
      <c r="G1050" s="2"/>
      <c r="H1050" s="4"/>
      <c r="I1050" s="4"/>
      <c r="J1050" s="13"/>
      <c r="K1050" s="2"/>
    </row>
    <row r="1051" spans="1:11" x14ac:dyDescent="0.3">
      <c r="A1051" s="10"/>
      <c r="B1051" s="6"/>
      <c r="C1051" s="4"/>
      <c r="D1051" s="4"/>
      <c r="E1051" s="4"/>
      <c r="F1051" s="4"/>
      <c r="G1051" s="2"/>
      <c r="H1051" s="4"/>
      <c r="I1051" s="4"/>
      <c r="J1051" s="13"/>
      <c r="K1051" s="2"/>
    </row>
    <row r="1052" spans="1:11" x14ac:dyDescent="0.3">
      <c r="A1052" s="10"/>
      <c r="B1052" s="6"/>
      <c r="C1052" s="4"/>
      <c r="D1052" s="4"/>
      <c r="E1052" s="4"/>
      <c r="F1052" s="4"/>
      <c r="G1052" s="2"/>
      <c r="H1052" s="4"/>
      <c r="I1052" s="4"/>
      <c r="J1052" s="13"/>
      <c r="K1052" s="2"/>
    </row>
    <row r="1053" spans="1:11" x14ac:dyDescent="0.3">
      <c r="A1053" s="10"/>
      <c r="B1053" s="6"/>
      <c r="C1053" s="4"/>
      <c r="D1053" s="4"/>
      <c r="E1053" s="4"/>
      <c r="F1053" s="4"/>
      <c r="G1053" s="2"/>
      <c r="H1053" s="4"/>
      <c r="I1053" s="4"/>
      <c r="J1053" s="13"/>
      <c r="K1053" s="2"/>
    </row>
    <row r="1054" spans="1:11" x14ac:dyDescent="0.3">
      <c r="A1054" s="10"/>
      <c r="B1054" s="6"/>
      <c r="C1054" s="4"/>
      <c r="D1054" s="4"/>
      <c r="E1054" s="4"/>
      <c r="F1054" s="4"/>
      <c r="G1054" s="2"/>
      <c r="H1054" s="4"/>
      <c r="I1054" s="4"/>
      <c r="J1054" s="13"/>
      <c r="K1054" s="2"/>
    </row>
    <row r="1055" spans="1:11" x14ac:dyDescent="0.3">
      <c r="A1055" s="10"/>
      <c r="B1055" s="6"/>
      <c r="C1055" s="4"/>
      <c r="D1055" s="4"/>
      <c r="E1055" s="4"/>
      <c r="F1055" s="4"/>
      <c r="G1055" s="2"/>
      <c r="H1055" s="4"/>
      <c r="I1055" s="4"/>
      <c r="J1055" s="13"/>
      <c r="K1055" s="2"/>
    </row>
    <row r="1056" spans="1:11" x14ac:dyDescent="0.3">
      <c r="A1056" s="10"/>
      <c r="B1056" s="6"/>
      <c r="C1056" s="4"/>
      <c r="D1056" s="4"/>
      <c r="E1056" s="4"/>
      <c r="F1056" s="4"/>
      <c r="G1056" s="2"/>
      <c r="H1056" s="4"/>
      <c r="I1056" s="4"/>
      <c r="J1056" s="13"/>
      <c r="K1056" s="2"/>
    </row>
    <row r="1057" spans="1:11" x14ac:dyDescent="0.3">
      <c r="A1057" s="10"/>
      <c r="B1057" s="6"/>
      <c r="C1057" s="4"/>
      <c r="D1057" s="4"/>
      <c r="E1057" s="4"/>
      <c r="F1057" s="4"/>
      <c r="G1057" s="2"/>
      <c r="H1057" s="4"/>
      <c r="I1057" s="4"/>
      <c r="J1057" s="13"/>
      <c r="K1057" s="2"/>
    </row>
    <row r="1058" spans="1:11" x14ac:dyDescent="0.3">
      <c r="A1058" s="10"/>
      <c r="B1058" s="6"/>
      <c r="C1058" s="4"/>
      <c r="D1058" s="4"/>
      <c r="E1058" s="4"/>
      <c r="F1058" s="4"/>
      <c r="G1058" s="2"/>
      <c r="H1058" s="4"/>
      <c r="I1058" s="4"/>
      <c r="J1058" s="13"/>
      <c r="K1058" s="2"/>
    </row>
    <row r="1059" spans="1:11" x14ac:dyDescent="0.3">
      <c r="A1059" s="10"/>
      <c r="B1059" s="6"/>
      <c r="C1059" s="4"/>
      <c r="D1059" s="4"/>
      <c r="E1059" s="4"/>
      <c r="F1059" s="4"/>
      <c r="G1059" s="2"/>
      <c r="H1059" s="4"/>
      <c r="I1059" s="4"/>
      <c r="J1059" s="13"/>
      <c r="K1059" s="2"/>
    </row>
    <row r="1060" spans="1:11" x14ac:dyDescent="0.3">
      <c r="A1060" s="10"/>
      <c r="B1060" s="6"/>
      <c r="C1060" s="4"/>
      <c r="D1060" s="4"/>
      <c r="E1060" s="4"/>
      <c r="F1060" s="4"/>
      <c r="G1060" s="2"/>
      <c r="H1060" s="4"/>
      <c r="I1060" s="4"/>
      <c r="J1060" s="13"/>
      <c r="K1060" s="2"/>
    </row>
    <row r="1061" spans="1:11" x14ac:dyDescent="0.3">
      <c r="A1061" s="10"/>
      <c r="B1061" s="6"/>
      <c r="C1061" s="4"/>
      <c r="D1061" s="4"/>
      <c r="E1061" s="4"/>
      <c r="F1061" s="4"/>
      <c r="G1061" s="2"/>
      <c r="H1061" s="4"/>
      <c r="I1061" s="4"/>
      <c r="J1061" s="13"/>
      <c r="K1061" s="2"/>
    </row>
    <row r="1062" spans="1:11" x14ac:dyDescent="0.3">
      <c r="A1062" s="10"/>
      <c r="B1062" s="6"/>
      <c r="C1062" s="4"/>
      <c r="D1062" s="4"/>
      <c r="E1062" s="4"/>
      <c r="F1062" s="4"/>
      <c r="G1062" s="2"/>
      <c r="H1062" s="4"/>
      <c r="I1062" s="4"/>
      <c r="J1062" s="13"/>
      <c r="K1062" s="2"/>
    </row>
    <row r="1063" spans="1:11" x14ac:dyDescent="0.3">
      <c r="A1063" s="10"/>
      <c r="B1063" s="6"/>
      <c r="C1063" s="4"/>
      <c r="D1063" s="4"/>
      <c r="E1063" s="4"/>
      <c r="F1063" s="4"/>
      <c r="G1063" s="2"/>
      <c r="H1063" s="4"/>
      <c r="I1063" s="4"/>
      <c r="J1063" s="13"/>
      <c r="K1063" s="2"/>
    </row>
    <row r="1064" spans="1:11" x14ac:dyDescent="0.3">
      <c r="A1064" s="10"/>
      <c r="B1064" s="6"/>
      <c r="C1064" s="4"/>
      <c r="D1064" s="4"/>
      <c r="E1064" s="4"/>
      <c r="F1064" s="4"/>
      <c r="G1064" s="2"/>
      <c r="H1064" s="4"/>
      <c r="I1064" s="4"/>
      <c r="J1064" s="13"/>
      <c r="K1064" s="2"/>
    </row>
    <row r="1065" spans="1:11" x14ac:dyDescent="0.3">
      <c r="A1065" s="10"/>
      <c r="B1065" s="6"/>
      <c r="C1065" s="4"/>
      <c r="D1065" s="4"/>
      <c r="E1065" s="4"/>
      <c r="F1065" s="4"/>
      <c r="G1065" s="2"/>
      <c r="H1065" s="4"/>
      <c r="I1065" s="4"/>
      <c r="J1065" s="13"/>
      <c r="K1065" s="2"/>
    </row>
    <row r="1066" spans="1:11" x14ac:dyDescent="0.3">
      <c r="A1066" s="10"/>
      <c r="B1066" s="6"/>
      <c r="C1066" s="4"/>
      <c r="D1066" s="4"/>
      <c r="E1066" s="4"/>
      <c r="F1066" s="4"/>
      <c r="G1066" s="2"/>
      <c r="H1066" s="4"/>
      <c r="I1066" s="4"/>
      <c r="J1066" s="13"/>
      <c r="K1066" s="2"/>
    </row>
    <row r="1067" spans="1:11" x14ac:dyDescent="0.3">
      <c r="A1067" s="10"/>
      <c r="B1067" s="6"/>
      <c r="C1067" s="4"/>
      <c r="D1067" s="4"/>
      <c r="E1067" s="4"/>
      <c r="F1067" s="4"/>
      <c r="G1067" s="2"/>
      <c r="H1067" s="4"/>
      <c r="I1067" s="4"/>
      <c r="J1067" s="13"/>
      <c r="K1067" s="2"/>
    </row>
    <row r="1068" spans="1:11" x14ac:dyDescent="0.3">
      <c r="A1068" s="10"/>
      <c r="B1068" s="6"/>
      <c r="C1068" s="4"/>
      <c r="D1068" s="4"/>
      <c r="E1068" s="4"/>
      <c r="F1068" s="4"/>
      <c r="G1068" s="2"/>
      <c r="H1068" s="4"/>
      <c r="I1068" s="4"/>
      <c r="J1068" s="13"/>
      <c r="K1068" s="2"/>
    </row>
    <row r="1069" spans="1:11" x14ac:dyDescent="0.3">
      <c r="A1069" s="10"/>
      <c r="B1069" s="6"/>
      <c r="C1069" s="4"/>
      <c r="D1069" s="4"/>
      <c r="E1069" s="4"/>
      <c r="F1069" s="4"/>
      <c r="G1069" s="2"/>
      <c r="H1069" s="4"/>
      <c r="I1069" s="4"/>
      <c r="J1069" s="13"/>
      <c r="K1069" s="2"/>
    </row>
    <row r="1070" spans="1:11" x14ac:dyDescent="0.3">
      <c r="A1070" s="10"/>
      <c r="B1070" s="6"/>
      <c r="C1070" s="4"/>
      <c r="D1070" s="4"/>
      <c r="E1070" s="4"/>
      <c r="F1070" s="4"/>
      <c r="G1070" s="2"/>
      <c r="H1070" s="4"/>
      <c r="I1070" s="4"/>
      <c r="J1070" s="13"/>
      <c r="K1070" s="2"/>
    </row>
    <row r="1071" spans="1:11" x14ac:dyDescent="0.3">
      <c r="A1071" s="10"/>
      <c r="B1071" s="6"/>
      <c r="C1071" s="4"/>
      <c r="D1071" s="4"/>
      <c r="E1071" s="4"/>
      <c r="F1071" s="4"/>
      <c r="G1071" s="2"/>
      <c r="H1071" s="4"/>
      <c r="I1071" s="4"/>
      <c r="J1071" s="13"/>
      <c r="K1071" s="2"/>
    </row>
    <row r="1072" spans="1:11" x14ac:dyDescent="0.3">
      <c r="A1072" s="10"/>
      <c r="B1072" s="6"/>
      <c r="C1072" s="4"/>
      <c r="D1072" s="4"/>
      <c r="E1072" s="4"/>
      <c r="F1072" s="4"/>
      <c r="G1072" s="2"/>
      <c r="H1072" s="4"/>
      <c r="I1072" s="4"/>
      <c r="J1072" s="13"/>
      <c r="K1072" s="2"/>
    </row>
    <row r="1073" spans="1:11" x14ac:dyDescent="0.3">
      <c r="A1073" s="10"/>
      <c r="B1073" s="6"/>
      <c r="C1073" s="4"/>
      <c r="D1073" s="4"/>
      <c r="E1073" s="4"/>
      <c r="F1073" s="4"/>
      <c r="G1073" s="2"/>
      <c r="H1073" s="4"/>
      <c r="I1073" s="4"/>
      <c r="J1073" s="13"/>
      <c r="K1073" s="2"/>
    </row>
    <row r="1074" spans="1:11" x14ac:dyDescent="0.3">
      <c r="A1074" s="10"/>
      <c r="B1074" s="6"/>
      <c r="C1074" s="4"/>
      <c r="D1074" s="4"/>
      <c r="E1074" s="4"/>
      <c r="F1074" s="4"/>
      <c r="G1074" s="2"/>
      <c r="H1074" s="4"/>
      <c r="I1074" s="4"/>
      <c r="J1074" s="13"/>
      <c r="K1074" s="2"/>
    </row>
    <row r="1075" spans="1:11" x14ac:dyDescent="0.3">
      <c r="A1075" s="10"/>
      <c r="B1075" s="6"/>
      <c r="C1075" s="4"/>
      <c r="D1075" s="4"/>
      <c r="E1075" s="4"/>
      <c r="F1075" s="4"/>
      <c r="G1075" s="2"/>
      <c r="H1075" s="4"/>
      <c r="I1075" s="4"/>
      <c r="J1075" s="13"/>
      <c r="K1075" s="2"/>
    </row>
    <row r="1076" spans="1:11" x14ac:dyDescent="0.3">
      <c r="A1076" s="10"/>
      <c r="B1076" s="6"/>
      <c r="C1076" s="4"/>
      <c r="D1076" s="4"/>
      <c r="E1076" s="4"/>
      <c r="F1076" s="4"/>
      <c r="G1076" s="2"/>
      <c r="H1076" s="4"/>
      <c r="I1076" s="4"/>
      <c r="J1076" s="13"/>
      <c r="K1076" s="2"/>
    </row>
    <row r="1077" spans="1:11" x14ac:dyDescent="0.3">
      <c r="A1077" s="10"/>
      <c r="B1077" s="6"/>
      <c r="C1077" s="4"/>
      <c r="D1077" s="4"/>
      <c r="E1077" s="4"/>
      <c r="F1077" s="4"/>
      <c r="G1077" s="2"/>
      <c r="H1077" s="4"/>
      <c r="I1077" s="4"/>
      <c r="J1077" s="13"/>
      <c r="K1077" s="2"/>
    </row>
    <row r="1078" spans="1:11" x14ac:dyDescent="0.3">
      <c r="A1078" s="10"/>
      <c r="B1078" s="6"/>
      <c r="C1078" s="4"/>
      <c r="D1078" s="4"/>
      <c r="E1078" s="4"/>
      <c r="F1078" s="4"/>
      <c r="G1078" s="2"/>
      <c r="H1078" s="4"/>
      <c r="I1078" s="4"/>
      <c r="J1078" s="13"/>
      <c r="K1078" s="2"/>
    </row>
    <row r="1079" spans="1:11" x14ac:dyDescent="0.3">
      <c r="A1079" s="10"/>
      <c r="B1079" s="6"/>
      <c r="C1079" s="4"/>
      <c r="D1079" s="4"/>
      <c r="E1079" s="4"/>
      <c r="F1079" s="4"/>
      <c r="G1079" s="2"/>
      <c r="H1079" s="4"/>
      <c r="I1079" s="4"/>
      <c r="J1079" s="13"/>
      <c r="K1079" s="2"/>
    </row>
    <row r="1080" spans="1:11" x14ac:dyDescent="0.3">
      <c r="A1080" s="10"/>
      <c r="B1080" s="6"/>
      <c r="C1080" s="4"/>
      <c r="D1080" s="4"/>
      <c r="E1080" s="4"/>
      <c r="F1080" s="4"/>
      <c r="G1080" s="2"/>
      <c r="H1080" s="4"/>
      <c r="I1080" s="4"/>
      <c r="J1080" s="13"/>
      <c r="K1080" s="2"/>
    </row>
    <row r="1081" spans="1:11" x14ac:dyDescent="0.3">
      <c r="A1081" s="10"/>
      <c r="B1081" s="6"/>
      <c r="C1081" s="4"/>
      <c r="D1081" s="4"/>
      <c r="E1081" s="4"/>
      <c r="F1081" s="4"/>
      <c r="G1081" s="2"/>
      <c r="H1081" s="4"/>
      <c r="I1081" s="4"/>
      <c r="J1081" s="13"/>
      <c r="K1081" s="2"/>
    </row>
    <row r="1082" spans="1:11" x14ac:dyDescent="0.3">
      <c r="A1082" s="10"/>
      <c r="B1082" s="6"/>
      <c r="C1082" s="4"/>
      <c r="D1082" s="4"/>
      <c r="E1082" s="4"/>
      <c r="F1082" s="4"/>
      <c r="G1082" s="2"/>
      <c r="H1082" s="4"/>
      <c r="I1082" s="4"/>
      <c r="J1082" s="13"/>
      <c r="K1082" s="2"/>
    </row>
    <row r="1083" spans="1:11" x14ac:dyDescent="0.3">
      <c r="A1083" s="10"/>
      <c r="B1083" s="6"/>
      <c r="C1083" s="4"/>
      <c r="D1083" s="4"/>
      <c r="E1083" s="4"/>
      <c r="F1083" s="4"/>
      <c r="G1083" s="2"/>
      <c r="H1083" s="4"/>
      <c r="I1083" s="4"/>
      <c r="J1083" s="13"/>
      <c r="K1083" s="2"/>
    </row>
    <row r="1084" spans="1:11" x14ac:dyDescent="0.3">
      <c r="A1084" s="10"/>
      <c r="B1084" s="6"/>
      <c r="C1084" s="4"/>
      <c r="D1084" s="4"/>
      <c r="E1084" s="4"/>
      <c r="F1084" s="4"/>
      <c r="G1084" s="2"/>
      <c r="H1084" s="4"/>
      <c r="I1084" s="4"/>
      <c r="J1084" s="13"/>
      <c r="K1084" s="2"/>
    </row>
    <row r="1085" spans="1:11" x14ac:dyDescent="0.3">
      <c r="A1085" s="10"/>
      <c r="B1085" s="6"/>
      <c r="C1085" s="4"/>
      <c r="D1085" s="4"/>
      <c r="E1085" s="4"/>
      <c r="F1085" s="4"/>
      <c r="G1085" s="2"/>
      <c r="H1085" s="4"/>
      <c r="I1085" s="4"/>
      <c r="J1085" s="13"/>
      <c r="K1085" s="2"/>
    </row>
    <row r="1086" spans="1:11" x14ac:dyDescent="0.3">
      <c r="A1086" s="10"/>
      <c r="B1086" s="6"/>
      <c r="C1086" s="4"/>
      <c r="D1086" s="4"/>
      <c r="E1086" s="4"/>
      <c r="F1086" s="4"/>
      <c r="G1086" s="2"/>
      <c r="H1086" s="4"/>
      <c r="I1086" s="4"/>
      <c r="J1086" s="13"/>
      <c r="K1086" s="2"/>
    </row>
    <row r="1087" spans="1:11" x14ac:dyDescent="0.3">
      <c r="A1087" s="10"/>
      <c r="B1087" s="6"/>
      <c r="C1087" s="4"/>
      <c r="D1087" s="4"/>
      <c r="E1087" s="4"/>
      <c r="F1087" s="4"/>
      <c r="G1087" s="2"/>
      <c r="H1087" s="4"/>
      <c r="I1087" s="4"/>
      <c r="J1087" s="13"/>
      <c r="K1087" s="2"/>
    </row>
    <row r="1088" spans="1:11" x14ac:dyDescent="0.3">
      <c r="A1088" s="10"/>
      <c r="B1088" s="6"/>
      <c r="C1088" s="4"/>
      <c r="D1088" s="4"/>
      <c r="E1088" s="4"/>
      <c r="F1088" s="4"/>
      <c r="G1088" s="2"/>
      <c r="H1088" s="4"/>
      <c r="I1088" s="4"/>
      <c r="J1088" s="13"/>
      <c r="K1088" s="2"/>
    </row>
    <row r="1089" spans="1:11" x14ac:dyDescent="0.3">
      <c r="A1089" s="10"/>
      <c r="B1089" s="6"/>
      <c r="C1089" s="4"/>
      <c r="D1089" s="4"/>
      <c r="E1089" s="4"/>
      <c r="F1089" s="4"/>
      <c r="G1089" s="2"/>
      <c r="H1089" s="4"/>
      <c r="I1089" s="4"/>
      <c r="J1089" s="13"/>
      <c r="K1089" s="2"/>
    </row>
    <row r="1090" spans="1:11" x14ac:dyDescent="0.3">
      <c r="A1090" s="10"/>
      <c r="B1090" s="6"/>
      <c r="C1090" s="4"/>
      <c r="D1090" s="4"/>
      <c r="E1090" s="4"/>
      <c r="F1090" s="4"/>
      <c r="G1090" s="2"/>
      <c r="H1090" s="4"/>
      <c r="I1090" s="4"/>
      <c r="J1090" s="13"/>
      <c r="K1090" s="2"/>
    </row>
    <row r="1091" spans="1:11" x14ac:dyDescent="0.3">
      <c r="A1091" s="10"/>
      <c r="B1091" s="6"/>
      <c r="C1091" s="4"/>
      <c r="D1091" s="4"/>
      <c r="E1091" s="4"/>
      <c r="F1091" s="4"/>
      <c r="G1091" s="2"/>
      <c r="H1091" s="4"/>
      <c r="I1091" s="4"/>
      <c r="J1091" s="13"/>
      <c r="K1091" s="2"/>
    </row>
    <row r="1092" spans="1:11" x14ac:dyDescent="0.3">
      <c r="A1092" s="10"/>
      <c r="B1092" s="6"/>
      <c r="C1092" s="4"/>
      <c r="D1092" s="4"/>
      <c r="E1092" s="4"/>
      <c r="F1092" s="4"/>
      <c r="G1092" s="2"/>
      <c r="H1092" s="4"/>
      <c r="I1092" s="4"/>
      <c r="J1092" s="13"/>
      <c r="K1092" s="2"/>
    </row>
    <row r="1093" spans="1:11" x14ac:dyDescent="0.3">
      <c r="A1093" s="10"/>
      <c r="B1093" s="6"/>
      <c r="C1093" s="4"/>
      <c r="D1093" s="4"/>
      <c r="E1093" s="4"/>
      <c r="F1093" s="4"/>
      <c r="G1093" s="2"/>
      <c r="H1093" s="4"/>
      <c r="I1093" s="4"/>
      <c r="J1093" s="13"/>
      <c r="K1093" s="2"/>
    </row>
    <row r="1094" spans="1:11" x14ac:dyDescent="0.3">
      <c r="A1094" s="10"/>
      <c r="B1094" s="6"/>
      <c r="C1094" s="4"/>
      <c r="D1094" s="4"/>
      <c r="E1094" s="4"/>
      <c r="F1094" s="4"/>
      <c r="G1094" s="2"/>
      <c r="H1094" s="4"/>
      <c r="I1094" s="4"/>
      <c r="J1094" s="13"/>
      <c r="K1094" s="2"/>
    </row>
    <row r="1095" spans="1:11" x14ac:dyDescent="0.3">
      <c r="A1095" s="10"/>
      <c r="B1095" s="6"/>
      <c r="C1095" s="4"/>
      <c r="D1095" s="4"/>
      <c r="E1095" s="4"/>
      <c r="F1095" s="4"/>
      <c r="G1095" s="2"/>
      <c r="H1095" s="4"/>
      <c r="I1095" s="4"/>
      <c r="J1095" s="13"/>
      <c r="K1095" s="2"/>
    </row>
    <row r="1096" spans="1:11" x14ac:dyDescent="0.3">
      <c r="A1096" s="10"/>
      <c r="B1096" s="6"/>
      <c r="C1096" s="4"/>
      <c r="D1096" s="4"/>
      <c r="E1096" s="4"/>
      <c r="F1096" s="4"/>
      <c r="G1096" s="2"/>
      <c r="H1096" s="4"/>
      <c r="I1096" s="4"/>
      <c r="J1096" s="13"/>
      <c r="K1096" s="2"/>
    </row>
    <row r="1097" spans="1:11" x14ac:dyDescent="0.3">
      <c r="A1097" s="10"/>
      <c r="B1097" s="6"/>
      <c r="C1097" s="4"/>
      <c r="D1097" s="4"/>
      <c r="E1097" s="4"/>
      <c r="F1097" s="4"/>
      <c r="G1097" s="2"/>
      <c r="H1097" s="4"/>
      <c r="I1097" s="4"/>
      <c r="J1097" s="13"/>
      <c r="K1097" s="2"/>
    </row>
    <row r="1098" spans="1:11" x14ac:dyDescent="0.3">
      <c r="A1098" s="10"/>
      <c r="B1098" s="6"/>
      <c r="C1098" s="4"/>
      <c r="D1098" s="4"/>
      <c r="E1098" s="4"/>
      <c r="F1098" s="4"/>
      <c r="G1098" s="2"/>
      <c r="H1098" s="4"/>
      <c r="I1098" s="4"/>
      <c r="J1098" s="13"/>
      <c r="K1098" s="2"/>
    </row>
    <row r="1099" spans="1:11" x14ac:dyDescent="0.3">
      <c r="A1099" s="10"/>
      <c r="B1099" s="6"/>
      <c r="C1099" s="4"/>
      <c r="D1099" s="4"/>
      <c r="E1099" s="4"/>
      <c r="F1099" s="4"/>
      <c r="G1099" s="2"/>
      <c r="H1099" s="4"/>
      <c r="I1099" s="4"/>
      <c r="J1099" s="13"/>
      <c r="K1099" s="2"/>
    </row>
    <row r="1100" spans="1:11" x14ac:dyDescent="0.3">
      <c r="A1100" s="10"/>
      <c r="B1100" s="6"/>
      <c r="C1100" s="4"/>
      <c r="D1100" s="4"/>
      <c r="E1100" s="4"/>
      <c r="F1100" s="4"/>
      <c r="G1100" s="2"/>
      <c r="H1100" s="4"/>
      <c r="I1100" s="4"/>
      <c r="J1100" s="13"/>
      <c r="K1100" s="2"/>
    </row>
    <row r="1101" spans="1:11" x14ac:dyDescent="0.3">
      <c r="A1101" s="10"/>
      <c r="B1101" s="6"/>
      <c r="C1101" s="4"/>
      <c r="D1101" s="4"/>
      <c r="E1101" s="4"/>
      <c r="F1101" s="4"/>
      <c r="G1101" s="2"/>
      <c r="H1101" s="4"/>
      <c r="I1101" s="4"/>
      <c r="J1101" s="13"/>
      <c r="K1101" s="2"/>
    </row>
    <row r="1102" spans="1:11" x14ac:dyDescent="0.3">
      <c r="A1102" s="10"/>
      <c r="B1102" s="6"/>
      <c r="C1102" s="4"/>
      <c r="D1102" s="4"/>
      <c r="E1102" s="4"/>
      <c r="F1102" s="4"/>
      <c r="G1102" s="2"/>
      <c r="H1102" s="4"/>
      <c r="I1102" s="4"/>
      <c r="J1102" s="13"/>
      <c r="K1102" s="2"/>
    </row>
    <row r="1103" spans="1:11" x14ac:dyDescent="0.3">
      <c r="A1103" s="10"/>
      <c r="B1103" s="6"/>
      <c r="C1103" s="4"/>
      <c r="D1103" s="4"/>
      <c r="E1103" s="4"/>
      <c r="F1103" s="4"/>
      <c r="G1103" s="2"/>
      <c r="H1103" s="4"/>
      <c r="I1103" s="4"/>
      <c r="J1103" s="13"/>
      <c r="K1103" s="2"/>
    </row>
    <row r="1104" spans="1:11" x14ac:dyDescent="0.3">
      <c r="A1104" s="10"/>
      <c r="B1104" s="6"/>
      <c r="C1104" s="4"/>
      <c r="D1104" s="4"/>
      <c r="E1104" s="4"/>
      <c r="F1104" s="4"/>
      <c r="G1104" s="2"/>
      <c r="H1104" s="4"/>
      <c r="I1104" s="4"/>
      <c r="J1104" s="13"/>
      <c r="K1104" s="2"/>
    </row>
    <row r="1105" spans="1:11" x14ac:dyDescent="0.3">
      <c r="A1105" s="10"/>
      <c r="B1105" s="6"/>
      <c r="C1105" s="4"/>
      <c r="D1105" s="4"/>
      <c r="E1105" s="4"/>
      <c r="F1105" s="4"/>
      <c r="G1105" s="2"/>
      <c r="H1105" s="4"/>
      <c r="I1105" s="4"/>
      <c r="J1105" s="13"/>
      <c r="K1105" s="2"/>
    </row>
    <row r="1106" spans="1:11" x14ac:dyDescent="0.3">
      <c r="A1106" s="10"/>
      <c r="B1106" s="6"/>
      <c r="C1106" s="4"/>
      <c r="D1106" s="4"/>
      <c r="E1106" s="4"/>
      <c r="F1106" s="4"/>
      <c r="G1106" s="2"/>
      <c r="H1106" s="4"/>
      <c r="I1106" s="4"/>
      <c r="J1106" s="13"/>
      <c r="K1106" s="2"/>
    </row>
    <row r="1107" spans="1:11" x14ac:dyDescent="0.3">
      <c r="A1107" s="10"/>
      <c r="B1107" s="6"/>
      <c r="C1107" s="4"/>
      <c r="D1107" s="4"/>
      <c r="E1107" s="4"/>
      <c r="F1107" s="4"/>
      <c r="G1107" s="2"/>
      <c r="H1107" s="4"/>
      <c r="I1107" s="4"/>
      <c r="J1107" s="13"/>
      <c r="K1107" s="2"/>
    </row>
    <row r="1108" spans="1:11" x14ac:dyDescent="0.3">
      <c r="A1108" s="10"/>
      <c r="B1108" s="6"/>
      <c r="C1108" s="4"/>
      <c r="D1108" s="4"/>
      <c r="E1108" s="4"/>
      <c r="F1108" s="4"/>
      <c r="G1108" s="2"/>
      <c r="H1108" s="4"/>
      <c r="I1108" s="4"/>
      <c r="J1108" s="13"/>
      <c r="K1108" s="2"/>
    </row>
    <row r="1109" spans="1:11" x14ac:dyDescent="0.3">
      <c r="A1109" s="10"/>
      <c r="B1109" s="6"/>
      <c r="C1109" s="4"/>
      <c r="D1109" s="4"/>
      <c r="E1109" s="4"/>
      <c r="F1109" s="4"/>
      <c r="G1109" s="2"/>
      <c r="H1109" s="4"/>
      <c r="I1109" s="4"/>
      <c r="J1109" s="13"/>
      <c r="K1109" s="2"/>
    </row>
    <row r="1110" spans="1:11" x14ac:dyDescent="0.3">
      <c r="A1110" s="10"/>
      <c r="B1110" s="6"/>
      <c r="C1110" s="4"/>
      <c r="D1110" s="4"/>
      <c r="E1110" s="4"/>
      <c r="F1110" s="4"/>
      <c r="G1110" s="2"/>
      <c r="H1110" s="4"/>
      <c r="I1110" s="4"/>
      <c r="J1110" s="13"/>
      <c r="K1110" s="2"/>
    </row>
    <row r="1111" spans="1:11" x14ac:dyDescent="0.3">
      <c r="A1111" s="10"/>
      <c r="B1111" s="6"/>
      <c r="C1111" s="4"/>
      <c r="D1111" s="4"/>
      <c r="E1111" s="4"/>
      <c r="F1111" s="4"/>
      <c r="G1111" s="2"/>
      <c r="H1111" s="4"/>
      <c r="I1111" s="4"/>
      <c r="J1111" s="13"/>
      <c r="K1111" s="2"/>
    </row>
    <row r="1112" spans="1:11" x14ac:dyDescent="0.3">
      <c r="A1112" s="10"/>
      <c r="B1112" s="6"/>
      <c r="C1112" s="4"/>
      <c r="D1112" s="4"/>
      <c r="E1112" s="4"/>
      <c r="F1112" s="4"/>
      <c r="G1112" s="2"/>
      <c r="H1112" s="4"/>
      <c r="I1112" s="4"/>
      <c r="J1112" s="13"/>
      <c r="K1112" s="2"/>
    </row>
    <row r="1113" spans="1:11" x14ac:dyDescent="0.3">
      <c r="A1113" s="10"/>
      <c r="B1113" s="6"/>
      <c r="C1113" s="4"/>
      <c r="D1113" s="4"/>
      <c r="E1113" s="4"/>
      <c r="F1113" s="4"/>
      <c r="G1113" s="2"/>
      <c r="H1113" s="4"/>
      <c r="I1113" s="4"/>
      <c r="J1113" s="13"/>
      <c r="K1113" s="2"/>
    </row>
    <row r="1114" spans="1:11" x14ac:dyDescent="0.3">
      <c r="A1114" s="10"/>
      <c r="B1114" s="6"/>
      <c r="C1114" s="4"/>
      <c r="D1114" s="4"/>
      <c r="E1114" s="4"/>
      <c r="F1114" s="4"/>
      <c r="G1114" s="2"/>
      <c r="H1114" s="4"/>
      <c r="I1114" s="4"/>
      <c r="J1114" s="13"/>
      <c r="K1114" s="2"/>
    </row>
  </sheetData>
  <hyperlinks>
    <hyperlink ref="C142" r:id="rId1" xr:uid="{00000000-0004-0000-0000-000000000000}"/>
    <hyperlink ref="C150" r:id="rId2" xr:uid="{00000000-0004-0000-0000-000001000000}"/>
    <hyperlink ref="C171" r:id="rId3" xr:uid="{00000000-0004-0000-0000-000002000000}"/>
    <hyperlink ref="C179" r:id="rId4" xr:uid="{00000000-0004-0000-0000-000003000000}"/>
    <hyperlink ref="B189" r:id="rId5" tooltip="BBS/EFSPI Webinar on HTA – 30th June 2020" display="http://bbs.ceb-institute.org/?p=1459" xr:uid="{00000000-0004-0000-0000-000004000000}"/>
    <hyperlink ref="C194" r:id="rId6" xr:uid="{00000000-0004-0000-0000-000005000000}"/>
    <hyperlink ref="B201" r:id="rId7" tooltip="BBS Webinar Aspects of COVID-19 pandemic June 3rd, 2020" display="http://bbs.ceb-institute.org/?p=1514" xr:uid="{00000000-0004-0000-0000-000006000000}"/>
    <hyperlink ref="C90" r:id="rId8" xr:uid="{00000000-0004-0000-0000-000007000000}"/>
    <hyperlink ref="L45" r:id="rId9" xr:uid="{6767DC4E-7DED-4CE9-B535-CB410788F1A2}"/>
    <hyperlink ref="C31" r:id="rId10" xr:uid="{962F91A3-71A2-4A72-9D8E-E9EF28200F39}"/>
    <hyperlink ref="L16" r:id="rId11" xr:uid="{9A2DD3EE-226E-4666-B380-3D214C636894}"/>
  </hyperlinks>
  <pageMargins left="0.7" right="0.7" top="0.75" bottom="0.75" header="0" footer="0"/>
  <pageSetup orientation="portrait" r:id="rId12"/>
  <drawing r:id="rId1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Schaefer, Juliane Stephanie {MGPD~BASEL}</cp:lastModifiedBy>
  <dcterms:modified xsi:type="dcterms:W3CDTF">2025-11-12T10:07:27Z</dcterms:modified>
</cp:coreProperties>
</file>